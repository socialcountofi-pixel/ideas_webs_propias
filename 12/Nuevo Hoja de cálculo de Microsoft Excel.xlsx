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Hoja1" sheetId="1" r:id="rId1"/>
    <sheet name="Hoja2" sheetId="2" r:id="rId2"/>
    <sheet name="Hoja3" sheetId="3" r:id="rId3"/>
  </sheets>
  <definedNames>
    <definedName name="_xlnm._FilterDatabase" localSheetId="1" hidden="1">Hoja2!$A$1:$H$49</definedName>
  </definedNames>
  <calcPr calcId="144525"/>
</workbook>
</file>

<file path=xl/calcChain.xml><?xml version="1.0" encoding="utf-8"?>
<calcChain xmlns="http://schemas.openxmlformats.org/spreadsheetml/2006/main">
  <c r="D43" i="2" l="1"/>
  <c r="D36" i="2"/>
  <c r="D27" i="2"/>
  <c r="D29" i="2"/>
  <c r="D25" i="2"/>
  <c r="D11" i="2"/>
  <c r="C14" i="2"/>
  <c r="E14" i="2" s="1"/>
  <c r="C48" i="2"/>
  <c r="E48" i="2" s="1"/>
  <c r="D49" i="2"/>
  <c r="D46" i="2"/>
  <c r="D37" i="2"/>
  <c r="D34" i="2"/>
  <c r="D26" i="2"/>
  <c r="D18" i="2"/>
  <c r="D2" i="2"/>
  <c r="D10" i="2"/>
  <c r="D9" i="2"/>
  <c r="D7" i="2"/>
  <c r="D6" i="2"/>
  <c r="D3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1" i="1"/>
  <c r="C45" i="2"/>
  <c r="E45" i="2" s="1"/>
  <c r="C44" i="2"/>
  <c r="E44" i="2" s="1"/>
  <c r="C40" i="2"/>
  <c r="E40" i="2" s="1"/>
  <c r="C42" i="2"/>
  <c r="E42" i="2" s="1"/>
  <c r="C41" i="2"/>
  <c r="E41" i="2" s="1"/>
  <c r="C39" i="2"/>
  <c r="E39" i="2" s="1"/>
  <c r="C43" i="2"/>
  <c r="C38" i="2"/>
  <c r="E38" i="2" s="1"/>
  <c r="C37" i="2"/>
  <c r="C36" i="2"/>
  <c r="C35" i="2"/>
  <c r="E35" i="2" s="1"/>
  <c r="C34" i="2"/>
  <c r="C33" i="2"/>
  <c r="E33" i="2" s="1"/>
  <c r="C32" i="2"/>
  <c r="E32" i="2" s="1"/>
  <c r="C31" i="2"/>
  <c r="E31" i="2" s="1"/>
  <c r="C30" i="2"/>
  <c r="E30" i="2" s="1"/>
  <c r="C29" i="2"/>
  <c r="C27" i="2"/>
  <c r="C28" i="2"/>
  <c r="E28" i="2" s="1"/>
  <c r="C25" i="2"/>
  <c r="C26" i="2"/>
  <c r="C24" i="2"/>
  <c r="E24" i="2" s="1"/>
  <c r="C23" i="2"/>
  <c r="E23" i="2" s="1"/>
  <c r="C22" i="2"/>
  <c r="E22" i="2" s="1"/>
  <c r="C21" i="2"/>
  <c r="E21" i="2" s="1"/>
  <c r="C20" i="2"/>
  <c r="E20" i="2" s="1"/>
  <c r="C19" i="2"/>
  <c r="E19" i="2" s="1"/>
  <c r="C18" i="2"/>
  <c r="C13" i="2"/>
  <c r="E13" i="2" s="1"/>
  <c r="C17" i="2"/>
  <c r="E17" i="2" s="1"/>
  <c r="C11" i="2"/>
  <c r="C2" i="2"/>
  <c r="E2" i="2" s="1"/>
  <c r="C16" i="2"/>
  <c r="E16" i="2" s="1"/>
  <c r="C15" i="2"/>
  <c r="E15" i="2" s="1"/>
  <c r="C12" i="2"/>
  <c r="E12" i="2" s="1"/>
  <c r="C4" i="2"/>
  <c r="E4" i="2" s="1"/>
  <c r="C10" i="2"/>
  <c r="C9" i="2"/>
  <c r="C8" i="2"/>
  <c r="E8" i="2" s="1"/>
  <c r="C7" i="2"/>
  <c r="C6" i="2"/>
  <c r="C5" i="2"/>
  <c r="E5" i="2" s="1"/>
  <c r="C49" i="2"/>
  <c r="C47" i="2"/>
  <c r="E47" i="2" s="1"/>
  <c r="C46" i="2"/>
  <c r="C3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1" i="1"/>
  <c r="E29" i="2" l="1"/>
  <c r="E27" i="2"/>
  <c r="E46" i="2"/>
  <c r="E7" i="2"/>
  <c r="E18" i="2"/>
  <c r="E11" i="2"/>
  <c r="E36" i="2"/>
  <c r="E6" i="2"/>
  <c r="E37" i="2"/>
  <c r="E9" i="2"/>
  <c r="E26" i="2"/>
  <c r="E49" i="2"/>
  <c r="E25" i="2"/>
  <c r="E43" i="2"/>
  <c r="E3" i="2"/>
  <c r="E10" i="2"/>
  <c r="E34" i="2"/>
  <c r="G1" i="2"/>
</calcChain>
</file>

<file path=xl/sharedStrings.xml><?xml version="1.0" encoding="utf-8"?>
<sst xmlns="http://schemas.openxmlformats.org/spreadsheetml/2006/main" count="182" uniqueCount="182">
  <si>
    <r>
      <t>ability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//pokeapi.co/api/v2/ability/"</t>
    </r>
  </si>
  <si>
    <r>
      <t>berry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//pokeapi.co/api/v2/berry/"</t>
    </r>
  </si>
  <si>
    <r>
      <t>berry-firmness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//pokeapi.co/api/v2/berry-firmness/"</t>
    </r>
  </si>
  <si>
    <r>
      <t>berry-flavor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//pokeapi.co/api/v2/berry-flavor/"</t>
    </r>
  </si>
  <si>
    <r>
      <t>characteristic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//pokeapi.co/api/v2/characteristic/"</t>
    </r>
  </si>
  <si>
    <r>
      <t>contest-effect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//pokeapi.co/api/v2/contest-effect/"</t>
    </r>
  </si>
  <si>
    <r>
      <t>contest-type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//pokeapi.co/api/v2/contest-type/"</t>
    </r>
  </si>
  <si>
    <r>
      <t>egg-group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//pokeapi.co/api/v2/egg-group/"</t>
    </r>
  </si>
  <si>
    <r>
      <t>encounter-condition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//pokeapi.co/api/v2/encounter-condition/"</t>
    </r>
  </si>
  <si>
    <r>
      <t>encounter-condition-value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//pokeapi.co/api/v2/encounter-condition-value/"</t>
    </r>
  </si>
  <si>
    <r>
      <t>encounter-method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//pokeapi.co/api/v2/encounter-method/"</t>
    </r>
  </si>
  <si>
    <r>
      <t>evolution-chain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//pokeapi.co/api/v2/evolution-chain/"</t>
    </r>
  </si>
  <si>
    <r>
      <t>evolution-trigger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//pokeapi.co/api/v2/evolution-trigger/"</t>
    </r>
  </si>
  <si>
    <r>
      <t>gender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//pokeapi.co/api/v2/gender/"</t>
    </r>
  </si>
  <si>
    <r>
      <t>generation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//pokeapi.co/api/v2/generation/"</t>
    </r>
  </si>
  <si>
    <r>
      <t>growth-rate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//pokeapi.co/api/v2/growth-rate/"</t>
    </r>
  </si>
  <si>
    <r>
      <t>item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//pokeapi.co/api/v2/item/"</t>
    </r>
  </si>
  <si>
    <r>
      <t>item-attribute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//pokeapi.co/api/v2/item-attribute/"</t>
    </r>
  </si>
  <si>
    <r>
      <t>item-category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//pokeapi.co/api/v2/item-category/"</t>
    </r>
  </si>
  <si>
    <r>
      <t>item-fling-effect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//pokeapi.co/api/v2/item-fling-effect/"</t>
    </r>
  </si>
  <si>
    <r>
      <t>item-pocket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//pokeapi.co/api/v2/item-pocket/"</t>
    </r>
  </si>
  <si>
    <r>
      <t>language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//pokeapi.co/api/v2/language/"</t>
    </r>
  </si>
  <si>
    <r>
      <t>location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//pokeapi.co/api/v2/location/"</t>
    </r>
  </si>
  <si>
    <r>
      <t>location-area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//pokeapi.co/api/v2/location-area/"</t>
    </r>
  </si>
  <si>
    <r>
      <t>machine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//pokeapi.co/api/v2/machine/"</t>
    </r>
  </si>
  <si>
    <r>
      <t>move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//pokeapi.co/api/v2/move/"</t>
    </r>
  </si>
  <si>
    <r>
      <t>move-ailment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//pokeapi.co/api/v2/move-ailment/"</t>
    </r>
  </si>
  <si>
    <r>
      <t>move-battle-style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//pokeapi.co/api/v2/move-battle-style/"</t>
    </r>
  </si>
  <si>
    <r>
      <t>move-category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//pokeapi.co/api/v2/move-category/"</t>
    </r>
  </si>
  <si>
    <r>
      <t>move-damage-class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//pokeapi.co/api/v2/move-damage-class/"</t>
    </r>
  </si>
  <si>
    <r>
      <t>move-learn-method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//pokeapi.co/api/v2/move-learn-method/"</t>
    </r>
  </si>
  <si>
    <r>
      <t>move-target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//pokeapi.co/api/v2/move-target/"</t>
    </r>
  </si>
  <si>
    <r>
      <t>nature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//pokeapi.co/api/v2/nature/"</t>
    </r>
  </si>
  <si>
    <r>
      <t>pal-park-area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//pokeapi.co/api/v2/pal-park-area/"</t>
    </r>
  </si>
  <si>
    <r>
      <t>pokeathlon-stat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//pokeapi.co/api/v2/pokeathlon-stat/"</t>
    </r>
  </si>
  <si>
    <r>
      <t>pokedex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//pokeapi.co/api/v2/pokedex/"</t>
    </r>
  </si>
  <si>
    <r>
      <t>pokemon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//pokeapi.co/api/v2/pokemon/"</t>
    </r>
  </si>
  <si>
    <r>
      <t>pokemon-color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//pokeapi.co/api/v2/pokemon-color/"</t>
    </r>
  </si>
  <si>
    <r>
      <t>pokemon-form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//pokeapi.co/api/v2/pokemon-form/"</t>
    </r>
  </si>
  <si>
    <r>
      <t>pokemon-habitat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//pokeapi.co/api/v2/pokemon-habitat/"</t>
    </r>
  </si>
  <si>
    <r>
      <t>pokemon-shape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//pokeapi.co/api/v2/pokemon-shape/"</t>
    </r>
  </si>
  <si>
    <r>
      <t>pokemon-species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//pokeapi.co/api/v2/pokemon-species/"</t>
    </r>
  </si>
  <si>
    <r>
      <t>region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//pokeapi.co/api/v2/region/"</t>
    </r>
  </si>
  <si>
    <r>
      <t>stat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//pokeapi.co/api/v2/stat/"</t>
    </r>
  </si>
  <si>
    <r>
      <t>super-contest-effect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//pokeapi.co/api/v2/super-contest-effect/"</t>
    </r>
  </si>
  <si>
    <r>
      <t>type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//pokeapi.co/api/v2/type/"</t>
    </r>
  </si>
  <si>
    <r>
      <t>version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//pokeapi.co/api/v2/version/"</t>
    </r>
  </si>
  <si>
    <r>
      <t>version-group</t>
    </r>
    <r>
      <rPr>
        <sz val="11"/>
        <color rgb="FFCCCCCC"/>
        <rFont val="Consolas"/>
        <family val="3"/>
      </rPr>
      <t xml:space="preserve"> : </t>
    </r>
    <r>
      <rPr>
        <sz val="11"/>
        <color rgb="FFCE9178"/>
        <rFont val="Consolas"/>
        <family val="3"/>
      </rPr>
      <t>"https : //pokeapi.co/api/v2/version-group/"</t>
    </r>
  </si>
  <si>
    <t xml:space="preserve">ability </t>
  </si>
  <si>
    <t xml:space="preserve">berry </t>
  </si>
  <si>
    <t xml:space="preserve">berry-firmness </t>
  </si>
  <si>
    <t xml:space="preserve">berry-flavor </t>
  </si>
  <si>
    <t xml:space="preserve">characteristic </t>
  </si>
  <si>
    <t xml:space="preserve">contest-effect </t>
  </si>
  <si>
    <t xml:space="preserve">contest-type </t>
  </si>
  <si>
    <t xml:space="preserve">egg-group </t>
  </si>
  <si>
    <t xml:space="preserve">encounter-condition </t>
  </si>
  <si>
    <t xml:space="preserve">encounter-condition-value </t>
  </si>
  <si>
    <t xml:space="preserve">encounter-method </t>
  </si>
  <si>
    <t xml:space="preserve">evolution-chain </t>
  </si>
  <si>
    <t xml:space="preserve">evolution-trigger </t>
  </si>
  <si>
    <t xml:space="preserve">gender </t>
  </si>
  <si>
    <t xml:space="preserve">generation </t>
  </si>
  <si>
    <t xml:space="preserve">growth-rate </t>
  </si>
  <si>
    <t xml:space="preserve">item </t>
  </si>
  <si>
    <t xml:space="preserve">item-attribute </t>
  </si>
  <si>
    <t xml:space="preserve">item-category </t>
  </si>
  <si>
    <t xml:space="preserve">item-fling-effect </t>
  </si>
  <si>
    <t xml:space="preserve">item-pocket </t>
  </si>
  <si>
    <t xml:space="preserve">language </t>
  </si>
  <si>
    <t xml:space="preserve">location </t>
  </si>
  <si>
    <t xml:space="preserve">location-area </t>
  </si>
  <si>
    <t xml:space="preserve">machine </t>
  </si>
  <si>
    <t xml:space="preserve">move </t>
  </si>
  <si>
    <t xml:space="preserve">move-ailment </t>
  </si>
  <si>
    <t xml:space="preserve">move-battle-style </t>
  </si>
  <si>
    <t xml:space="preserve">move-category </t>
  </si>
  <si>
    <t xml:space="preserve">move-damage-class </t>
  </si>
  <si>
    <t xml:space="preserve">move-learn-method </t>
  </si>
  <si>
    <t xml:space="preserve">move-target </t>
  </si>
  <si>
    <t xml:space="preserve">nature </t>
  </si>
  <si>
    <t xml:space="preserve">pal-park-area </t>
  </si>
  <si>
    <t xml:space="preserve">pokeathlon-stat </t>
  </si>
  <si>
    <t xml:space="preserve">pokedex </t>
  </si>
  <si>
    <t xml:space="preserve">pokemon </t>
  </si>
  <si>
    <t xml:space="preserve">pokemon-color </t>
  </si>
  <si>
    <t xml:space="preserve">pokemon-form </t>
  </si>
  <si>
    <t xml:space="preserve">pokemon-habitat </t>
  </si>
  <si>
    <t xml:space="preserve">pokemon-shape </t>
  </si>
  <si>
    <t xml:space="preserve">pokemon-species </t>
  </si>
  <si>
    <t xml:space="preserve">region </t>
  </si>
  <si>
    <t xml:space="preserve">stat </t>
  </si>
  <si>
    <t xml:space="preserve">super-contest-effect </t>
  </si>
  <si>
    <t xml:space="preserve">type </t>
  </si>
  <si>
    <t xml:space="preserve">version </t>
  </si>
  <si>
    <t xml:space="preserve">version-group </t>
  </si>
  <si>
    <t>nombre</t>
  </si>
  <si>
    <t>url</t>
  </si>
  <si>
    <t>variable</t>
  </si>
  <si>
    <t>values</t>
  </si>
  <si>
    <t>"https : //pokeapi.co/api/v2/ability/"</t>
  </si>
  <si>
    <t>"https : //pokeapi.co/api/v2/berry/"</t>
  </si>
  <si>
    <t>"https : //pokeapi.co/api/v2/berry-firmness/"</t>
  </si>
  <si>
    <t>"https : //pokeapi.co/api/v2/berry-flavor/"</t>
  </si>
  <si>
    <t>"https : //pokeapi.co/api/v2/characteristic/"</t>
  </si>
  <si>
    <t>"https : //pokeapi.co/api/v2/contest-effect/"</t>
  </si>
  <si>
    <t>"https : //pokeapi.co/api/v2/contest-type/"</t>
  </si>
  <si>
    <t>"https : //pokeapi.co/api/v2/egg-group/"</t>
  </si>
  <si>
    <t>"https : //pokeapi.co/api/v2/encounter-condition/"</t>
  </si>
  <si>
    <t>"https : //pokeapi.co/api/v2/encounter-condition-value/"</t>
  </si>
  <si>
    <t>"https : //pokeapi.co/api/v2/encounter-method/"</t>
  </si>
  <si>
    <t>"https : //pokeapi.co/api/v2/evolution-chain/"</t>
  </si>
  <si>
    <t>"https : //pokeapi.co/api/v2/evolution-trigger/"</t>
  </si>
  <si>
    <t>"https : //pokeapi.co/api/v2/gender/"</t>
  </si>
  <si>
    <t>"https : //pokeapi.co/api/v2/generation/"</t>
  </si>
  <si>
    <t>"https : //pokeapi.co/api/v2/growth-rate/"</t>
  </si>
  <si>
    <t>"https : //pokeapi.co/api/v2/item/"</t>
  </si>
  <si>
    <t>"https : //pokeapi.co/api/v2/item-attribute/"</t>
  </si>
  <si>
    <t>"https : //pokeapi.co/api/v2/item-category/"</t>
  </si>
  <si>
    <t>"https : //pokeapi.co/api/v2/item-fling-effect/"</t>
  </si>
  <si>
    <t>"https : //pokeapi.co/api/v2/item-pocket/"</t>
  </si>
  <si>
    <t>"https : //pokeapi.co/api/v2/language/"</t>
  </si>
  <si>
    <t>"https : //pokeapi.co/api/v2/location/"</t>
  </si>
  <si>
    <t>"https : //pokeapi.co/api/v2/location-area/"</t>
  </si>
  <si>
    <t>"https : //pokeapi.co/api/v2/machine/"</t>
  </si>
  <si>
    <t>"https : //pokeapi.co/api/v2/move/"</t>
  </si>
  <si>
    <t>"https : //pokeapi.co/api/v2/move-ailment/"</t>
  </si>
  <si>
    <t>"https : //pokeapi.co/api/v2/move-battle-style/"</t>
  </si>
  <si>
    <t>"https : //pokeapi.co/api/v2/move-category/"</t>
  </si>
  <si>
    <t>"https : //pokeapi.co/api/v2/move-damage-class/"</t>
  </si>
  <si>
    <t>"https : //pokeapi.co/api/v2/move-learn-method/"</t>
  </si>
  <si>
    <t>"https : //pokeapi.co/api/v2/move-target/"</t>
  </si>
  <si>
    <t>"https : //pokeapi.co/api/v2/nature/"</t>
  </si>
  <si>
    <t>"https : //pokeapi.co/api/v2/pal-park-area/"</t>
  </si>
  <si>
    <t>"https : //pokeapi.co/api/v2/pokeathlon-stat/"</t>
  </si>
  <si>
    <t>"https : //pokeapi.co/api/v2/pokedex/"</t>
  </si>
  <si>
    <t>"https : //pokeapi.co/api/v2/pokemon/"</t>
  </si>
  <si>
    <t>"https : //pokeapi.co/api/v2/pokemon-color/"</t>
  </si>
  <si>
    <t>"https : //pokeapi.co/api/v2/pokemon-form/"</t>
  </si>
  <si>
    <t>"https : //pokeapi.co/api/v2/pokemon-habitat/"</t>
  </si>
  <si>
    <t>"https : //pokeapi.co/api/v2/pokemon-shape/"</t>
  </si>
  <si>
    <t>"https : //pokeapi.co/api/v2/pokemon-species/"</t>
  </si>
  <si>
    <t>"https : //pokeapi.co/api/v2/region/"</t>
  </si>
  <si>
    <t>"https : //pokeapi.co/api/v2/stat/"</t>
  </si>
  <si>
    <t>"https : //pokeapi.co/api/v2/super-contest-effect/"</t>
  </si>
  <si>
    <t>"https : //pokeapi.co/api/v2/type/"</t>
  </si>
  <si>
    <t>"https : //pokeapi.co/api/v2/version/"</t>
  </si>
  <si>
    <t>"https : //pokeapi.co/api/v2/version-group/"</t>
  </si>
  <si>
    <r>
      <t xml:space="preserve">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p</t>
    </r>
    <r>
      <rPr>
        <sz val="11"/>
        <color rgb="FF808080"/>
        <rFont val="Consolas"/>
        <family val="3"/>
      </rPr>
      <t>&gt;&lt;</t>
    </r>
    <r>
      <rPr>
        <sz val="11"/>
        <color rgb="FF569CD6"/>
        <rFont val="Consolas"/>
        <family val="3"/>
      </rPr>
      <t>strong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>ID: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strong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span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"p-id"</t>
    </r>
    <r>
      <rPr>
        <sz val="11"/>
        <color rgb="FF808080"/>
        <rFont val="Consolas"/>
        <family val="3"/>
      </rPr>
      <t>&gt;&lt;/</t>
    </r>
    <r>
      <rPr>
        <sz val="11"/>
        <color rgb="FF569CD6"/>
        <rFont val="Consolas"/>
        <family val="3"/>
      </rPr>
      <t>span</t>
    </r>
    <r>
      <rPr>
        <sz val="11"/>
        <color rgb="FF808080"/>
        <rFont val="Consolas"/>
        <family val="3"/>
      </rPr>
      <t>&gt;&lt;/</t>
    </r>
    <r>
      <rPr>
        <sz val="11"/>
        <color rgb="FF569CD6"/>
        <rFont val="Consolas"/>
        <family val="3"/>
      </rPr>
      <t>p</t>
    </r>
    <r>
      <rPr>
        <sz val="11"/>
        <color rgb="FF808080"/>
        <rFont val="Consolas"/>
        <family val="3"/>
      </rPr>
      <t>&gt;</t>
    </r>
  </si>
  <si>
    <t>vg-</t>
  </si>
  <si>
    <t>sce-</t>
  </si>
  <si>
    <t>ps-</t>
  </si>
  <si>
    <t>ppa-</t>
  </si>
  <si>
    <t>ph-</t>
  </si>
  <si>
    <t>pf-</t>
  </si>
  <si>
    <t>pe-</t>
  </si>
  <si>
    <t>pc-</t>
  </si>
  <si>
    <t>mt-</t>
  </si>
  <si>
    <t>mlm-</t>
  </si>
  <si>
    <t>mdc-</t>
  </si>
  <si>
    <t>mc-</t>
  </si>
  <si>
    <t>mbl-</t>
  </si>
  <si>
    <t>la-</t>
  </si>
  <si>
    <t>ip-</t>
  </si>
  <si>
    <t>ife-</t>
  </si>
  <si>
    <t>ic-</t>
  </si>
  <si>
    <t>ia-</t>
  </si>
  <si>
    <t>gr-</t>
  </si>
  <si>
    <t>em-</t>
  </si>
  <si>
    <t>eg-</t>
  </si>
  <si>
    <t>ecv-</t>
  </si>
  <si>
    <t>ec-</t>
  </si>
  <si>
    <t>ct-</t>
  </si>
  <si>
    <t>ce-</t>
  </si>
  <si>
    <t>bf-</t>
  </si>
  <si>
    <t>pas-</t>
  </si>
  <si>
    <t>et-</t>
  </si>
  <si>
    <t>bfi-</t>
  </si>
  <si>
    <t>mal-</t>
  </si>
  <si>
    <t xml:space="preserve"> &amp; C2 &amp; </t>
  </si>
  <si>
    <t>div</t>
  </si>
  <si>
    <t>orden 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</si>
</sst>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color rgb="FFCE9178"/>
      <name val="Consolas"/>
      <family val="3"/>
    </font>
    <font>
      <sz val="11"/>
      <color rgb="FF569CD6"/>
      <name val="Consolas"/>
      <family val="3"/>
    </font>
    <font>
      <b/>
      <sz val="11"/>
      <color theme="1"/>
      <name val="Bodoni MT"/>
      <family val="1"/>
    </font>
    <font>
      <u/>
      <sz val="11"/>
      <color theme="1"/>
      <name val="Calibri"/>
      <family val="2"/>
      <scheme val="minor"/>
    </font>
    <font>
      <u/>
      <sz val="11"/>
      <color theme="1"/>
      <name val="Consolas"/>
      <family val="3"/>
    </font>
    <font>
      <sz val="11"/>
      <color rgb="FF9CDCFE"/>
      <name val="Consolas"/>
      <family val="3"/>
    </font>
    <font>
      <sz val="11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3" fontId="3" fillId="0" borderId="0" xfId="0" applyNumberFormat="1" applyFont="1" applyAlignment="1">
      <alignment vertical="center"/>
    </xf>
    <xf numFmtId="3" fontId="0" fillId="0" borderId="0" xfId="0" applyNumberFormat="1"/>
    <xf numFmtId="0" fontId="6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99.42578125" style="5" bestFit="1" customWidth="1"/>
    <col min="2" max="5" width="11.85546875" bestFit="1" customWidth="1"/>
  </cols>
  <sheetData>
    <row r="1" spans="1:3" x14ac:dyDescent="0.25">
      <c r="A1" s="4" t="s">
        <v>0</v>
      </c>
      <c r="B1" t="str">
        <f>LEFT(A1,FIND(":",A1)-1)</f>
        <v xml:space="preserve">ability </v>
      </c>
      <c r="C1" t="str">
        <f>RIGHT(A1,LEN(A1)-FIND(":",A1)-1)</f>
        <v>"https : //pokeapi.co/api/v2/ability/"</v>
      </c>
    </row>
    <row r="2" spans="1:3" x14ac:dyDescent="0.25">
      <c r="A2" s="4" t="s">
        <v>1</v>
      </c>
      <c r="B2" t="str">
        <f t="shared" ref="B2:B48" si="0">LEFT(A2,FIND(":",A2)-1)</f>
        <v xml:space="preserve">berry </v>
      </c>
      <c r="C2" t="str">
        <f t="shared" ref="C2:C48" si="1">RIGHT(A2,LEN(A2)-FIND(":",A2)-1)</f>
        <v>"https : //pokeapi.co/api/v2/berry/"</v>
      </c>
    </row>
    <row r="3" spans="1:3" x14ac:dyDescent="0.25">
      <c r="A3" s="4" t="s">
        <v>2</v>
      </c>
      <c r="B3" t="str">
        <f t="shared" si="0"/>
        <v xml:space="preserve">berry-firmness </v>
      </c>
      <c r="C3" t="str">
        <f t="shared" si="1"/>
        <v>"https : //pokeapi.co/api/v2/berry-firmness/"</v>
      </c>
    </row>
    <row r="4" spans="1:3" x14ac:dyDescent="0.25">
      <c r="A4" s="4" t="s">
        <v>3</v>
      </c>
      <c r="B4" t="str">
        <f t="shared" si="0"/>
        <v xml:space="preserve">berry-flavor </v>
      </c>
      <c r="C4" t="str">
        <f t="shared" si="1"/>
        <v>"https : //pokeapi.co/api/v2/berry-flavor/"</v>
      </c>
    </row>
    <row r="5" spans="1:3" x14ac:dyDescent="0.25">
      <c r="A5" s="4" t="s">
        <v>4</v>
      </c>
      <c r="B5" t="str">
        <f t="shared" si="0"/>
        <v xml:space="preserve">characteristic </v>
      </c>
      <c r="C5" t="str">
        <f t="shared" si="1"/>
        <v>"https : //pokeapi.co/api/v2/characteristic/"</v>
      </c>
    </row>
    <row r="6" spans="1:3" x14ac:dyDescent="0.25">
      <c r="A6" s="4" t="s">
        <v>5</v>
      </c>
      <c r="B6" t="str">
        <f t="shared" si="0"/>
        <v xml:space="preserve">contest-effect </v>
      </c>
      <c r="C6" t="str">
        <f t="shared" si="1"/>
        <v>"https : //pokeapi.co/api/v2/contest-effect/"</v>
      </c>
    </row>
    <row r="7" spans="1:3" x14ac:dyDescent="0.25">
      <c r="A7" s="4" t="s">
        <v>6</v>
      </c>
      <c r="B7" t="str">
        <f t="shared" si="0"/>
        <v xml:space="preserve">contest-type </v>
      </c>
      <c r="C7" t="str">
        <f t="shared" si="1"/>
        <v>"https : //pokeapi.co/api/v2/contest-type/"</v>
      </c>
    </row>
    <row r="8" spans="1:3" x14ac:dyDescent="0.25">
      <c r="A8" s="4" t="s">
        <v>7</v>
      </c>
      <c r="B8" t="str">
        <f t="shared" si="0"/>
        <v xml:space="preserve">egg-group </v>
      </c>
      <c r="C8" t="str">
        <f t="shared" si="1"/>
        <v>"https : //pokeapi.co/api/v2/egg-group/"</v>
      </c>
    </row>
    <row r="9" spans="1:3" x14ac:dyDescent="0.25">
      <c r="A9" s="4" t="s">
        <v>8</v>
      </c>
      <c r="B9" t="str">
        <f t="shared" si="0"/>
        <v xml:space="preserve">encounter-condition </v>
      </c>
      <c r="C9" t="str">
        <f t="shared" si="1"/>
        <v>"https : //pokeapi.co/api/v2/encounter-condition/"</v>
      </c>
    </row>
    <row r="10" spans="1:3" x14ac:dyDescent="0.25">
      <c r="A10" s="4" t="s">
        <v>9</v>
      </c>
      <c r="B10" t="str">
        <f t="shared" si="0"/>
        <v xml:space="preserve">encounter-condition-value </v>
      </c>
      <c r="C10" t="str">
        <f t="shared" si="1"/>
        <v>"https : //pokeapi.co/api/v2/encounter-condition-value/"</v>
      </c>
    </row>
    <row r="11" spans="1:3" x14ac:dyDescent="0.25">
      <c r="A11" s="4" t="s">
        <v>10</v>
      </c>
      <c r="B11" t="str">
        <f t="shared" si="0"/>
        <v xml:space="preserve">encounter-method </v>
      </c>
      <c r="C11" t="str">
        <f t="shared" si="1"/>
        <v>"https : //pokeapi.co/api/v2/encounter-method/"</v>
      </c>
    </row>
    <row r="12" spans="1:3" x14ac:dyDescent="0.25">
      <c r="A12" s="4" t="s">
        <v>11</v>
      </c>
      <c r="B12" t="str">
        <f t="shared" si="0"/>
        <v xml:space="preserve">evolution-chain </v>
      </c>
      <c r="C12" t="str">
        <f t="shared" si="1"/>
        <v>"https : //pokeapi.co/api/v2/evolution-chain/"</v>
      </c>
    </row>
    <row r="13" spans="1:3" x14ac:dyDescent="0.25">
      <c r="A13" s="4" t="s">
        <v>12</v>
      </c>
      <c r="B13" t="str">
        <f t="shared" si="0"/>
        <v xml:space="preserve">evolution-trigger </v>
      </c>
      <c r="C13" t="str">
        <f t="shared" si="1"/>
        <v>"https : //pokeapi.co/api/v2/evolution-trigger/"</v>
      </c>
    </row>
    <row r="14" spans="1:3" x14ac:dyDescent="0.25">
      <c r="A14" s="4" t="s">
        <v>13</v>
      </c>
      <c r="B14" t="str">
        <f t="shared" si="0"/>
        <v xml:space="preserve">gender </v>
      </c>
      <c r="C14" t="str">
        <f t="shared" si="1"/>
        <v>"https : //pokeapi.co/api/v2/gender/"</v>
      </c>
    </row>
    <row r="15" spans="1:3" x14ac:dyDescent="0.25">
      <c r="A15" s="4" t="s">
        <v>14</v>
      </c>
      <c r="B15" t="str">
        <f t="shared" si="0"/>
        <v xml:space="preserve">generation </v>
      </c>
      <c r="C15" t="str">
        <f t="shared" si="1"/>
        <v>"https : //pokeapi.co/api/v2/generation/"</v>
      </c>
    </row>
    <row r="16" spans="1:3" x14ac:dyDescent="0.25">
      <c r="A16" s="4" t="s">
        <v>15</v>
      </c>
      <c r="B16" t="str">
        <f t="shared" si="0"/>
        <v xml:space="preserve">growth-rate </v>
      </c>
      <c r="C16" t="str">
        <f t="shared" si="1"/>
        <v>"https : //pokeapi.co/api/v2/growth-rate/"</v>
      </c>
    </row>
    <row r="17" spans="1:3" x14ac:dyDescent="0.25">
      <c r="A17" s="4" t="s">
        <v>16</v>
      </c>
      <c r="B17" t="str">
        <f t="shared" si="0"/>
        <v xml:space="preserve">item </v>
      </c>
      <c r="C17" t="str">
        <f t="shared" si="1"/>
        <v>"https : //pokeapi.co/api/v2/item/"</v>
      </c>
    </row>
    <row r="18" spans="1:3" x14ac:dyDescent="0.25">
      <c r="A18" s="4" t="s">
        <v>17</v>
      </c>
      <c r="B18" t="str">
        <f t="shared" si="0"/>
        <v xml:space="preserve">item-attribute </v>
      </c>
      <c r="C18" t="str">
        <f t="shared" si="1"/>
        <v>"https : //pokeapi.co/api/v2/item-attribute/"</v>
      </c>
    </row>
    <row r="19" spans="1:3" x14ac:dyDescent="0.25">
      <c r="A19" s="4" t="s">
        <v>18</v>
      </c>
      <c r="B19" t="str">
        <f t="shared" si="0"/>
        <v xml:space="preserve">item-category </v>
      </c>
      <c r="C19" t="str">
        <f t="shared" si="1"/>
        <v>"https : //pokeapi.co/api/v2/item-category/"</v>
      </c>
    </row>
    <row r="20" spans="1:3" x14ac:dyDescent="0.25">
      <c r="A20" s="4" t="s">
        <v>19</v>
      </c>
      <c r="B20" t="str">
        <f t="shared" si="0"/>
        <v xml:space="preserve">item-fling-effect </v>
      </c>
      <c r="C20" t="str">
        <f t="shared" si="1"/>
        <v>"https : //pokeapi.co/api/v2/item-fling-effect/"</v>
      </c>
    </row>
    <row r="21" spans="1:3" x14ac:dyDescent="0.25">
      <c r="A21" s="4" t="s">
        <v>20</v>
      </c>
      <c r="B21" t="str">
        <f t="shared" si="0"/>
        <v xml:space="preserve">item-pocket </v>
      </c>
      <c r="C21" t="str">
        <f t="shared" si="1"/>
        <v>"https : //pokeapi.co/api/v2/item-pocket/"</v>
      </c>
    </row>
    <row r="22" spans="1:3" x14ac:dyDescent="0.25">
      <c r="A22" s="4" t="s">
        <v>21</v>
      </c>
      <c r="B22" t="str">
        <f t="shared" si="0"/>
        <v xml:space="preserve">language </v>
      </c>
      <c r="C22" t="str">
        <f t="shared" si="1"/>
        <v>"https : //pokeapi.co/api/v2/language/"</v>
      </c>
    </row>
    <row r="23" spans="1:3" x14ac:dyDescent="0.25">
      <c r="A23" s="4" t="s">
        <v>22</v>
      </c>
      <c r="B23" t="str">
        <f t="shared" si="0"/>
        <v xml:space="preserve">location </v>
      </c>
      <c r="C23" t="str">
        <f t="shared" si="1"/>
        <v>"https : //pokeapi.co/api/v2/location/"</v>
      </c>
    </row>
    <row r="24" spans="1:3" x14ac:dyDescent="0.25">
      <c r="A24" s="4" t="s">
        <v>23</v>
      </c>
      <c r="B24" t="str">
        <f t="shared" si="0"/>
        <v xml:space="preserve">location-area </v>
      </c>
      <c r="C24" t="str">
        <f t="shared" si="1"/>
        <v>"https : //pokeapi.co/api/v2/location-area/"</v>
      </c>
    </row>
    <row r="25" spans="1:3" x14ac:dyDescent="0.25">
      <c r="A25" s="4" t="s">
        <v>24</v>
      </c>
      <c r="B25" t="str">
        <f t="shared" si="0"/>
        <v xml:space="preserve">machine </v>
      </c>
      <c r="C25" t="str">
        <f t="shared" si="1"/>
        <v>"https : //pokeapi.co/api/v2/machine/"</v>
      </c>
    </row>
    <row r="26" spans="1:3" x14ac:dyDescent="0.25">
      <c r="A26" s="4" t="s">
        <v>25</v>
      </c>
      <c r="B26" t="str">
        <f t="shared" si="0"/>
        <v xml:space="preserve">move </v>
      </c>
      <c r="C26" t="str">
        <f t="shared" si="1"/>
        <v>"https : //pokeapi.co/api/v2/move/"</v>
      </c>
    </row>
    <row r="27" spans="1:3" x14ac:dyDescent="0.25">
      <c r="A27" s="4" t="s">
        <v>26</v>
      </c>
      <c r="B27" t="str">
        <f t="shared" si="0"/>
        <v xml:space="preserve">move-ailment </v>
      </c>
      <c r="C27" t="str">
        <f t="shared" si="1"/>
        <v>"https : //pokeapi.co/api/v2/move-ailment/"</v>
      </c>
    </row>
    <row r="28" spans="1:3" x14ac:dyDescent="0.25">
      <c r="A28" s="4" t="s">
        <v>27</v>
      </c>
      <c r="B28" t="str">
        <f t="shared" si="0"/>
        <v xml:space="preserve">move-battle-style </v>
      </c>
      <c r="C28" t="str">
        <f t="shared" si="1"/>
        <v>"https : //pokeapi.co/api/v2/move-battle-style/"</v>
      </c>
    </row>
    <row r="29" spans="1:3" x14ac:dyDescent="0.25">
      <c r="A29" s="4" t="s">
        <v>28</v>
      </c>
      <c r="B29" t="str">
        <f t="shared" si="0"/>
        <v xml:space="preserve">move-category </v>
      </c>
      <c r="C29" t="str">
        <f t="shared" si="1"/>
        <v>"https : //pokeapi.co/api/v2/move-category/"</v>
      </c>
    </row>
    <row r="30" spans="1:3" x14ac:dyDescent="0.25">
      <c r="A30" s="4" t="s">
        <v>29</v>
      </c>
      <c r="B30" t="str">
        <f t="shared" si="0"/>
        <v xml:space="preserve">move-damage-class </v>
      </c>
      <c r="C30" t="str">
        <f t="shared" si="1"/>
        <v>"https : //pokeapi.co/api/v2/move-damage-class/"</v>
      </c>
    </row>
    <row r="31" spans="1:3" x14ac:dyDescent="0.25">
      <c r="A31" s="4" t="s">
        <v>30</v>
      </c>
      <c r="B31" t="str">
        <f t="shared" si="0"/>
        <v xml:space="preserve">move-learn-method </v>
      </c>
      <c r="C31" t="str">
        <f t="shared" si="1"/>
        <v>"https : //pokeapi.co/api/v2/move-learn-method/"</v>
      </c>
    </row>
    <row r="32" spans="1:3" x14ac:dyDescent="0.25">
      <c r="A32" s="4" t="s">
        <v>31</v>
      </c>
      <c r="B32" t="str">
        <f t="shared" si="0"/>
        <v xml:space="preserve">move-target </v>
      </c>
      <c r="C32" t="str">
        <f t="shared" si="1"/>
        <v>"https : //pokeapi.co/api/v2/move-target/"</v>
      </c>
    </row>
    <row r="33" spans="1:3" x14ac:dyDescent="0.25">
      <c r="A33" s="4" t="s">
        <v>32</v>
      </c>
      <c r="B33" t="str">
        <f t="shared" si="0"/>
        <v xml:space="preserve">nature </v>
      </c>
      <c r="C33" t="str">
        <f t="shared" si="1"/>
        <v>"https : //pokeapi.co/api/v2/nature/"</v>
      </c>
    </row>
    <row r="34" spans="1:3" x14ac:dyDescent="0.25">
      <c r="A34" s="4" t="s">
        <v>33</v>
      </c>
      <c r="B34" t="str">
        <f t="shared" si="0"/>
        <v xml:space="preserve">pal-park-area </v>
      </c>
      <c r="C34" t="str">
        <f t="shared" si="1"/>
        <v>"https : //pokeapi.co/api/v2/pal-park-area/"</v>
      </c>
    </row>
    <row r="35" spans="1:3" x14ac:dyDescent="0.25">
      <c r="A35" s="4" t="s">
        <v>34</v>
      </c>
      <c r="B35" t="str">
        <f t="shared" si="0"/>
        <v xml:space="preserve">pokeathlon-stat </v>
      </c>
      <c r="C35" t="str">
        <f t="shared" si="1"/>
        <v>"https : //pokeapi.co/api/v2/pokeathlon-stat/"</v>
      </c>
    </row>
    <row r="36" spans="1:3" x14ac:dyDescent="0.25">
      <c r="A36" s="4" t="s">
        <v>35</v>
      </c>
      <c r="B36" t="str">
        <f t="shared" si="0"/>
        <v xml:space="preserve">pokedex </v>
      </c>
      <c r="C36" t="str">
        <f t="shared" si="1"/>
        <v>"https : //pokeapi.co/api/v2/pokedex/"</v>
      </c>
    </row>
    <row r="37" spans="1:3" x14ac:dyDescent="0.25">
      <c r="A37" s="4" t="s">
        <v>36</v>
      </c>
      <c r="B37" t="str">
        <f t="shared" si="0"/>
        <v xml:space="preserve">pokemon </v>
      </c>
      <c r="C37" t="str">
        <f t="shared" si="1"/>
        <v>"https : //pokeapi.co/api/v2/pokemon/"</v>
      </c>
    </row>
    <row r="38" spans="1:3" x14ac:dyDescent="0.25">
      <c r="A38" s="4" t="s">
        <v>37</v>
      </c>
      <c r="B38" t="str">
        <f t="shared" si="0"/>
        <v xml:space="preserve">pokemon-color </v>
      </c>
      <c r="C38" t="str">
        <f t="shared" si="1"/>
        <v>"https : //pokeapi.co/api/v2/pokemon-color/"</v>
      </c>
    </row>
    <row r="39" spans="1:3" x14ac:dyDescent="0.25">
      <c r="A39" s="4" t="s">
        <v>38</v>
      </c>
      <c r="B39" t="str">
        <f t="shared" si="0"/>
        <v xml:space="preserve">pokemon-form </v>
      </c>
      <c r="C39" t="str">
        <f t="shared" si="1"/>
        <v>"https : //pokeapi.co/api/v2/pokemon-form/"</v>
      </c>
    </row>
    <row r="40" spans="1:3" x14ac:dyDescent="0.25">
      <c r="A40" s="4" t="s">
        <v>39</v>
      </c>
      <c r="B40" t="str">
        <f t="shared" si="0"/>
        <v xml:space="preserve">pokemon-habitat </v>
      </c>
      <c r="C40" t="str">
        <f t="shared" si="1"/>
        <v>"https : //pokeapi.co/api/v2/pokemon-habitat/"</v>
      </c>
    </row>
    <row r="41" spans="1:3" x14ac:dyDescent="0.25">
      <c r="A41" s="4" t="s">
        <v>40</v>
      </c>
      <c r="B41" t="str">
        <f t="shared" si="0"/>
        <v xml:space="preserve">pokemon-shape </v>
      </c>
      <c r="C41" t="str">
        <f t="shared" si="1"/>
        <v>"https : //pokeapi.co/api/v2/pokemon-shape/"</v>
      </c>
    </row>
    <row r="42" spans="1:3" x14ac:dyDescent="0.25">
      <c r="A42" s="4" t="s">
        <v>41</v>
      </c>
      <c r="B42" t="str">
        <f t="shared" si="0"/>
        <v xml:space="preserve">pokemon-species </v>
      </c>
      <c r="C42" t="str">
        <f t="shared" si="1"/>
        <v>"https : //pokeapi.co/api/v2/pokemon-species/"</v>
      </c>
    </row>
    <row r="43" spans="1:3" x14ac:dyDescent="0.25">
      <c r="A43" s="4" t="s">
        <v>42</v>
      </c>
      <c r="B43" t="str">
        <f t="shared" si="0"/>
        <v xml:space="preserve">region </v>
      </c>
      <c r="C43" t="str">
        <f t="shared" si="1"/>
        <v>"https : //pokeapi.co/api/v2/region/"</v>
      </c>
    </row>
    <row r="44" spans="1:3" x14ac:dyDescent="0.25">
      <c r="A44" s="4" t="s">
        <v>43</v>
      </c>
      <c r="B44" t="str">
        <f t="shared" si="0"/>
        <v xml:space="preserve">stat </v>
      </c>
      <c r="C44" t="str">
        <f t="shared" si="1"/>
        <v>"https : //pokeapi.co/api/v2/stat/"</v>
      </c>
    </row>
    <row r="45" spans="1:3" x14ac:dyDescent="0.25">
      <c r="A45" s="4" t="s">
        <v>44</v>
      </c>
      <c r="B45" t="str">
        <f t="shared" si="0"/>
        <v xml:space="preserve">super-contest-effect </v>
      </c>
      <c r="C45" t="str">
        <f t="shared" si="1"/>
        <v>"https : //pokeapi.co/api/v2/super-contest-effect/"</v>
      </c>
    </row>
    <row r="46" spans="1:3" x14ac:dyDescent="0.25">
      <c r="A46" s="4" t="s">
        <v>45</v>
      </c>
      <c r="B46" t="str">
        <f t="shared" si="0"/>
        <v xml:space="preserve">type </v>
      </c>
      <c r="C46" t="str">
        <f t="shared" si="1"/>
        <v>"https : //pokeapi.co/api/v2/type/"</v>
      </c>
    </row>
    <row r="47" spans="1:3" x14ac:dyDescent="0.25">
      <c r="A47" s="4" t="s">
        <v>46</v>
      </c>
      <c r="B47" t="str">
        <f t="shared" si="0"/>
        <v xml:space="preserve">version </v>
      </c>
      <c r="C47" t="str">
        <f t="shared" si="1"/>
        <v>"https : //pokeapi.co/api/v2/version/"</v>
      </c>
    </row>
    <row r="48" spans="1:3" x14ac:dyDescent="0.25">
      <c r="A48" s="4" t="s">
        <v>47</v>
      </c>
      <c r="B48" t="str">
        <f t="shared" si="0"/>
        <v xml:space="preserve">version-group </v>
      </c>
      <c r="C48" t="str">
        <f t="shared" si="1"/>
        <v>"https : //pokeapi.co/api/v2/version-group/"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24.7109375" bestFit="1" customWidth="1"/>
    <col min="2" max="2" width="66.42578125" bestFit="1" customWidth="1"/>
    <col min="3" max="3" width="26.140625" bestFit="1" customWidth="1"/>
    <col min="4" max="4" width="9" bestFit="1" customWidth="1"/>
    <col min="5" max="5" width="16.7109375" customWidth="1"/>
    <col min="6" max="6" width="20.7109375" customWidth="1"/>
    <col min="7" max="9" width="11.85546875" bestFit="1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180</v>
      </c>
      <c r="F1" t="s">
        <v>181</v>
      </c>
      <c r="G1" t="str">
        <f>" &lt;div class='card'&gt;"&amp;C2&amp;"&lt;/div&gt;"</f>
        <v xml:space="preserve"> &lt;div class='card'&gt;pokemon &lt;/div&gt;</v>
      </c>
      <c r="H1" t="s">
        <v>179</v>
      </c>
    </row>
    <row r="2" spans="1:8" x14ac:dyDescent="0.25">
      <c r="A2" s="2" t="s">
        <v>84</v>
      </c>
      <c r="B2" s="6" t="s">
        <v>136</v>
      </c>
      <c r="C2" t="str">
        <f>SUBSTITUTE(A2,"-","_")</f>
        <v xml:space="preserve">pokemon </v>
      </c>
      <c r="D2" t="str">
        <f>CONCATENATE(LEFT(A2,1),"-")</f>
        <v>p-</v>
      </c>
      <c r="E2" t="str">
        <f>"&lt;p&gt;&lt;strong&gt;ID:&lt;/strong&gt; &lt;span " &amp; D2 &amp; "id&gt;" &amp; C2 &amp; "&lt;/span&gt;&lt;/p&gt;"</f>
        <v>&lt;p&gt;&lt;strong&gt;ID:&lt;/strong&gt; &lt;span p-id&gt;pokemon &lt;/span&gt;&lt;/p&gt;</v>
      </c>
      <c r="F2">
        <v>1</v>
      </c>
    </row>
    <row r="3" spans="1:8" x14ac:dyDescent="0.25">
      <c r="A3" s="2" t="s">
        <v>48</v>
      </c>
      <c r="B3" s="6" t="s">
        <v>100</v>
      </c>
      <c r="C3" t="str">
        <f>SUBSTITUTE(A3,"-","_")</f>
        <v xml:space="preserve">ability </v>
      </c>
      <c r="D3" t="str">
        <f>CONCATENATE(LEFT(A3,1),"-")</f>
        <v>a-</v>
      </c>
      <c r="E3" t="str">
        <f>"&lt;p&gt;&lt;strong&gt;ID:&lt;/strong&gt; &lt;span " &amp; D3 &amp; "id&gt;" &amp; C3 &amp; "&lt;/span&gt;&lt;/p&gt;"</f>
        <v>&lt;p&gt;&lt;strong&gt;ID:&lt;/strong&gt; &lt;span a-id&gt;ability &lt;/span&gt;&lt;/p&gt;</v>
      </c>
      <c r="F3">
        <v>2</v>
      </c>
    </row>
    <row r="4" spans="1:8" x14ac:dyDescent="0.25">
      <c r="A4" s="2" t="s">
        <v>89</v>
      </c>
      <c r="B4" s="6" t="s">
        <v>141</v>
      </c>
      <c r="C4" t="str">
        <f>SUBSTITUTE(A4,"-","_")</f>
        <v xml:space="preserve">pokemon_species </v>
      </c>
      <c r="D4" t="s">
        <v>155</v>
      </c>
      <c r="E4" t="str">
        <f>"&lt;p&gt;&lt;strong&gt;ID:&lt;/strong&gt; &lt;span " &amp; D4 &amp; "id&gt;" &amp; C4 &amp; "&lt;/span&gt;&lt;/p&gt;"</f>
        <v>&lt;p&gt;&lt;strong&gt;ID:&lt;/strong&gt; &lt;span pe-id&gt;pokemon_species &lt;/span&gt;&lt;/p&gt;</v>
      </c>
      <c r="F4" s="3">
        <v>3</v>
      </c>
    </row>
    <row r="5" spans="1:8" x14ac:dyDescent="0.25">
      <c r="A5" s="2" t="s">
        <v>95</v>
      </c>
      <c r="B5" s="6" t="s">
        <v>147</v>
      </c>
      <c r="C5" t="str">
        <f>SUBSTITUTE(A5,"-","_")</f>
        <v xml:space="preserve">version_group </v>
      </c>
      <c r="D5" t="s">
        <v>149</v>
      </c>
      <c r="E5" t="str">
        <f>"&lt;p&gt;&lt;strong&gt;ID:&lt;/strong&gt; &lt;span " &amp; D5 &amp; "id&gt;" &amp; C5 &amp; "&lt;/span&gt;&lt;/p&gt;"</f>
        <v>&lt;p&gt;&lt;strong&gt;ID:&lt;/strong&gt; &lt;span vg-id&gt;version_group &lt;/span&gt;&lt;/p&gt;</v>
      </c>
      <c r="F5" s="3"/>
      <c r="H5" s="3"/>
    </row>
    <row r="6" spans="1:8" x14ac:dyDescent="0.25">
      <c r="A6" s="2" t="s">
        <v>94</v>
      </c>
      <c r="B6" s="6" t="s">
        <v>146</v>
      </c>
      <c r="C6" t="str">
        <f>SUBSTITUTE(A6,"-","_")</f>
        <v xml:space="preserve">version </v>
      </c>
      <c r="D6" t="str">
        <f>CONCATENATE(LEFT(A6,1),"-")</f>
        <v>v-</v>
      </c>
      <c r="E6" t="str">
        <f>"&lt;p&gt;&lt;strong&gt;ID:&lt;/strong&gt; &lt;span " &amp; D6 &amp; "id&gt;" &amp; C6 &amp; "&lt;/span&gt;&lt;/p&gt;"</f>
        <v>&lt;p&gt;&lt;strong&gt;ID:&lt;/strong&gt; &lt;span v-id&gt;version &lt;/span&gt;&lt;/p&gt;</v>
      </c>
    </row>
    <row r="7" spans="1:8" x14ac:dyDescent="0.25">
      <c r="A7" s="2" t="s">
        <v>93</v>
      </c>
      <c r="B7" s="6" t="s">
        <v>145</v>
      </c>
      <c r="C7" t="str">
        <f>SUBSTITUTE(A7,"-","_")</f>
        <v xml:space="preserve">type </v>
      </c>
      <c r="D7" t="str">
        <f>CONCATENATE(LEFT(A7,1),"-")</f>
        <v>t-</v>
      </c>
      <c r="E7" t="str">
        <f>"&lt;p&gt;&lt;strong&gt;ID:&lt;/strong&gt; &lt;span " &amp; D7 &amp; "id&gt;" &amp; C7 &amp; "&lt;/span&gt;&lt;/p&gt;"</f>
        <v>&lt;p&gt;&lt;strong&gt;ID:&lt;/strong&gt; &lt;span t-id&gt;type &lt;/span&gt;&lt;/p&gt;</v>
      </c>
    </row>
    <row r="8" spans="1:8" x14ac:dyDescent="0.25">
      <c r="A8" s="2" t="s">
        <v>92</v>
      </c>
      <c r="B8" s="6" t="s">
        <v>144</v>
      </c>
      <c r="C8" t="str">
        <f>SUBSTITUTE(A8,"-","_")</f>
        <v xml:space="preserve">super_contest_effect </v>
      </c>
      <c r="D8" t="s">
        <v>150</v>
      </c>
      <c r="E8" t="str">
        <f>"&lt;p&gt;&lt;strong&gt;ID:&lt;/strong&gt; &lt;span " &amp; D8 &amp; "id&gt;" &amp; C8 &amp; "&lt;/span&gt;&lt;/p&gt;"</f>
        <v>&lt;p&gt;&lt;strong&gt;ID:&lt;/strong&gt; &lt;span sce-id&gt;super_contest_effect &lt;/span&gt;&lt;/p&gt;</v>
      </c>
      <c r="G8" s="1" t="s">
        <v>148</v>
      </c>
    </row>
    <row r="9" spans="1:8" x14ac:dyDescent="0.25">
      <c r="A9" s="2" t="s">
        <v>91</v>
      </c>
      <c r="B9" s="6" t="s">
        <v>143</v>
      </c>
      <c r="C9" t="str">
        <f>SUBSTITUTE(A9,"-","_")</f>
        <v xml:space="preserve">stat </v>
      </c>
      <c r="D9" t="str">
        <f>CONCATENATE(LEFT(A9,1),"-")</f>
        <v>s-</v>
      </c>
      <c r="E9" t="str">
        <f>"&lt;p&gt;&lt;strong&gt;ID:&lt;/strong&gt; &lt;span " &amp; D9 &amp; "id&gt;" &amp; C9 &amp; "&lt;/span&gt;&lt;/p&gt;"</f>
        <v>&lt;p&gt;&lt;strong&gt;ID:&lt;/strong&gt; &lt;span s-id&gt;stat &lt;/span&gt;&lt;/p&gt;</v>
      </c>
    </row>
    <row r="10" spans="1:8" x14ac:dyDescent="0.25">
      <c r="A10" s="2" t="s">
        <v>90</v>
      </c>
      <c r="B10" s="6" t="s">
        <v>142</v>
      </c>
      <c r="C10" t="str">
        <f>SUBSTITUTE(A10,"-","_")</f>
        <v xml:space="preserve">region </v>
      </c>
      <c r="D10" t="str">
        <f>CONCATENATE(LEFT(A10,1),"-")</f>
        <v>r-</v>
      </c>
      <c r="E10" t="str">
        <f>"&lt;p&gt;&lt;strong&gt;ID:&lt;/strong&gt; &lt;span " &amp; D10 &amp; "id&gt;" &amp; C10 &amp; "&lt;/span&gt;&lt;/p&gt;"</f>
        <v>&lt;p&gt;&lt;strong&gt;ID:&lt;/strong&gt; &lt;span r-id&gt;region &lt;/span&gt;&lt;/p&gt;</v>
      </c>
    </row>
    <row r="11" spans="1:8" x14ac:dyDescent="0.25">
      <c r="A11" s="2" t="s">
        <v>83</v>
      </c>
      <c r="B11" s="6" t="s">
        <v>135</v>
      </c>
      <c r="C11" t="str">
        <f>SUBSTITUTE(A11,"-","_")</f>
        <v xml:space="preserve">pokedex </v>
      </c>
      <c r="D11" t="str">
        <f>CONCATENATE(LEFT(A11,1),"x-")</f>
        <v>px-</v>
      </c>
      <c r="E11" t="str">
        <f>"&lt;p&gt;&lt;strong&gt;ID:&lt;/strong&gt; &lt;span " &amp; D11 &amp; "id&gt;" &amp; C11 &amp; "&lt;/span&gt;&lt;/p&gt;"</f>
        <v>&lt;p&gt;&lt;strong&gt;ID:&lt;/strong&gt; &lt;span px-id&gt;pokedex &lt;/span&gt;&lt;/p&gt;</v>
      </c>
    </row>
    <row r="12" spans="1:8" x14ac:dyDescent="0.25">
      <c r="A12" s="2" t="s">
        <v>88</v>
      </c>
      <c r="B12" s="6" t="s">
        <v>140</v>
      </c>
      <c r="C12" t="str">
        <f>SUBSTITUTE(A12,"-","_")</f>
        <v xml:space="preserve">pokemon_shape </v>
      </c>
      <c r="D12" t="s">
        <v>151</v>
      </c>
      <c r="E12" t="str">
        <f>"&lt;p&gt;&lt;strong&gt;ID:&lt;/strong&gt; &lt;span " &amp; D12 &amp; "id&gt;" &amp; C12 &amp; "&lt;/span&gt;&lt;/p&gt;"</f>
        <v>&lt;p&gt;&lt;strong&gt;ID:&lt;/strong&gt; &lt;span ps-id&gt;pokemon_shape &lt;/span&gt;&lt;/p&gt;</v>
      </c>
    </row>
    <row r="13" spans="1:8" x14ac:dyDescent="0.25">
      <c r="A13" s="2" t="s">
        <v>81</v>
      </c>
      <c r="B13" s="6" t="s">
        <v>133</v>
      </c>
      <c r="C13" t="str">
        <f>SUBSTITUTE(A13,"-","_")</f>
        <v xml:space="preserve">pal_park_area </v>
      </c>
      <c r="D13" t="s">
        <v>152</v>
      </c>
      <c r="E13" t="str">
        <f>"&lt;p&gt;&lt;strong&gt;ID:&lt;/strong&gt; &lt;span " &amp; D13 &amp; "id&gt;" &amp; C13 &amp; "&lt;/span&gt;&lt;/p&gt;"</f>
        <v>&lt;p&gt;&lt;strong&gt;ID:&lt;/strong&gt; &lt;span ppa-id&gt;pal_park_area &lt;/span&gt;&lt;/p&gt;</v>
      </c>
    </row>
    <row r="14" spans="1:8" x14ac:dyDescent="0.25">
      <c r="A14" s="2" t="s">
        <v>87</v>
      </c>
      <c r="B14" s="6" t="s">
        <v>139</v>
      </c>
      <c r="C14" t="str">
        <f>SUBSTITUTE(A14,"-","_")</f>
        <v xml:space="preserve">pokemon_habitat </v>
      </c>
      <c r="D14" t="s">
        <v>153</v>
      </c>
      <c r="E14" t="str">
        <f>"&lt;p&gt;&lt;strong&gt;ID:&lt;/strong&gt; &lt;span " &amp; D14 &amp; "id&gt;" &amp; C14 &amp; "&lt;/span&gt;&lt;/p&gt;"</f>
        <v>&lt;p&gt;&lt;strong&gt;ID:&lt;/strong&gt; &lt;span ph-id&gt;pokemon_habitat &lt;/span&gt;&lt;/p&gt;</v>
      </c>
    </row>
    <row r="15" spans="1:8" x14ac:dyDescent="0.25">
      <c r="A15" s="2" t="s">
        <v>86</v>
      </c>
      <c r="B15" s="6" t="s">
        <v>138</v>
      </c>
      <c r="C15" t="str">
        <f>SUBSTITUTE(A15,"-","_")</f>
        <v xml:space="preserve">pokemon_form </v>
      </c>
      <c r="D15" t="s">
        <v>154</v>
      </c>
      <c r="E15" t="str">
        <f>"&lt;p&gt;&lt;strong&gt;ID:&lt;/strong&gt; &lt;span " &amp; D15 &amp; "id&gt;" &amp; C15 &amp; "&lt;/span&gt;&lt;/p&gt;"</f>
        <v>&lt;p&gt;&lt;strong&gt;ID:&lt;/strong&gt; &lt;span pf-id&gt;pokemon_form &lt;/span&gt;&lt;/p&gt;</v>
      </c>
    </row>
    <row r="16" spans="1:8" x14ac:dyDescent="0.25">
      <c r="A16" s="2" t="s">
        <v>85</v>
      </c>
      <c r="B16" s="6" t="s">
        <v>137</v>
      </c>
      <c r="C16" t="str">
        <f>SUBSTITUTE(A16,"-","_")</f>
        <v xml:space="preserve">pokemon_color </v>
      </c>
      <c r="D16" t="s">
        <v>156</v>
      </c>
      <c r="E16" t="str">
        <f>"&lt;p&gt;&lt;strong&gt;ID:&lt;/strong&gt; &lt;span " &amp; D16 &amp; "id&gt;" &amp; C16 &amp; "&lt;/span&gt;&lt;/p&gt;"</f>
        <v>&lt;p&gt;&lt;strong&gt;ID:&lt;/strong&gt; &lt;span pc-id&gt;pokemon_color &lt;/span&gt;&lt;/p&gt;</v>
      </c>
      <c r="F16" s="7"/>
    </row>
    <row r="17" spans="1:6" x14ac:dyDescent="0.25">
      <c r="A17" s="2" t="s">
        <v>82</v>
      </c>
      <c r="B17" s="6" t="s">
        <v>134</v>
      </c>
      <c r="C17" t="str">
        <f>SUBSTITUTE(A17,"-","_")</f>
        <v xml:space="preserve">pokeathlon_stat </v>
      </c>
      <c r="D17" t="s">
        <v>175</v>
      </c>
      <c r="E17" t="str">
        <f>"&lt;p&gt;&lt;strong&gt;ID:&lt;/strong&gt; &lt;span " &amp; D17 &amp; "id&gt;" &amp; C17 &amp; "&lt;/span&gt;&lt;/p&gt;"</f>
        <v>&lt;p&gt;&lt;strong&gt;ID:&lt;/strong&gt; &lt;span pas-id&gt;pokeathlon_stat &lt;/span&gt;&lt;/p&gt;</v>
      </c>
    </row>
    <row r="18" spans="1:6" x14ac:dyDescent="0.25">
      <c r="A18" s="2" t="s">
        <v>80</v>
      </c>
      <c r="B18" s="6" t="s">
        <v>132</v>
      </c>
      <c r="C18" t="str">
        <f>SUBSTITUTE(A18,"-","_")</f>
        <v xml:space="preserve">nature </v>
      </c>
      <c r="D18" t="str">
        <f>CONCATENATE(LEFT(A18,1),"-")</f>
        <v>n-</v>
      </c>
      <c r="E18" t="str">
        <f>"&lt;p&gt;&lt;strong&gt;ID:&lt;/strong&gt; &lt;span " &amp; D18 &amp; "id&gt;" &amp; C18 &amp; "&lt;/span&gt;&lt;/p&gt;"</f>
        <v>&lt;p&gt;&lt;strong&gt;ID:&lt;/strong&gt; &lt;span n-id&gt;nature &lt;/span&gt;&lt;/p&gt;</v>
      </c>
    </row>
    <row r="19" spans="1:6" x14ac:dyDescent="0.25">
      <c r="A19" s="2" t="s">
        <v>79</v>
      </c>
      <c r="B19" s="6" t="s">
        <v>131</v>
      </c>
      <c r="C19" t="str">
        <f>SUBSTITUTE(A19,"-","_")</f>
        <v xml:space="preserve">move_target </v>
      </c>
      <c r="D19" t="s">
        <v>157</v>
      </c>
      <c r="E19" t="str">
        <f>"&lt;p&gt;&lt;strong&gt;ID:&lt;/strong&gt; &lt;span " &amp; D19 &amp; "id&gt;" &amp; C19 &amp; "&lt;/span&gt;&lt;/p&gt;"</f>
        <v>&lt;p&gt;&lt;strong&gt;ID:&lt;/strong&gt; &lt;span mt-id&gt;move_target &lt;/span&gt;&lt;/p&gt;</v>
      </c>
    </row>
    <row r="20" spans="1:6" x14ac:dyDescent="0.25">
      <c r="A20" s="2" t="s">
        <v>78</v>
      </c>
      <c r="B20" s="6" t="s">
        <v>130</v>
      </c>
      <c r="C20" t="str">
        <f>SUBSTITUTE(A20,"-","_")</f>
        <v xml:space="preserve">move_learn_method </v>
      </c>
      <c r="D20" t="s">
        <v>158</v>
      </c>
      <c r="E20" t="str">
        <f>"&lt;p&gt;&lt;strong&gt;ID:&lt;/strong&gt; &lt;span " &amp; D20 &amp; "id&gt;" &amp; C20 &amp; "&lt;/span&gt;&lt;/p&gt;"</f>
        <v>&lt;p&gt;&lt;strong&gt;ID:&lt;/strong&gt; &lt;span mlm-id&gt;move_learn_method &lt;/span&gt;&lt;/p&gt;</v>
      </c>
    </row>
    <row r="21" spans="1:6" x14ac:dyDescent="0.25">
      <c r="A21" s="2" t="s">
        <v>77</v>
      </c>
      <c r="B21" s="6" t="s">
        <v>129</v>
      </c>
      <c r="C21" t="str">
        <f>SUBSTITUTE(A21,"-","_")</f>
        <v xml:space="preserve">move_damage_class </v>
      </c>
      <c r="D21" t="s">
        <v>159</v>
      </c>
      <c r="E21" t="str">
        <f>"&lt;p&gt;&lt;strong&gt;ID:&lt;/strong&gt; &lt;span " &amp; D21 &amp; "id&gt;" &amp; C21 &amp; "&lt;/span&gt;&lt;/p&gt;"</f>
        <v>&lt;p&gt;&lt;strong&gt;ID:&lt;/strong&gt; &lt;span mdc-id&gt;move_damage_class &lt;/span&gt;&lt;/p&gt;</v>
      </c>
    </row>
    <row r="22" spans="1:6" x14ac:dyDescent="0.25">
      <c r="A22" s="2" t="s">
        <v>76</v>
      </c>
      <c r="B22" s="6" t="s">
        <v>128</v>
      </c>
      <c r="C22" t="str">
        <f>SUBSTITUTE(A22,"-","_")</f>
        <v xml:space="preserve">move_category </v>
      </c>
      <c r="D22" t="s">
        <v>160</v>
      </c>
      <c r="E22" t="str">
        <f>"&lt;p&gt;&lt;strong&gt;ID:&lt;/strong&gt; &lt;span " &amp; D22 &amp; "id&gt;" &amp; C22 &amp; "&lt;/span&gt;&lt;/p&gt;"</f>
        <v>&lt;p&gt;&lt;strong&gt;ID:&lt;/strong&gt; &lt;span mc-id&gt;move_category &lt;/span&gt;&lt;/p&gt;</v>
      </c>
    </row>
    <row r="23" spans="1:6" x14ac:dyDescent="0.25">
      <c r="A23" s="2" t="s">
        <v>75</v>
      </c>
      <c r="B23" s="6" t="s">
        <v>127</v>
      </c>
      <c r="C23" t="str">
        <f>SUBSTITUTE(A23,"-","_")</f>
        <v xml:space="preserve">move_battle_style </v>
      </c>
      <c r="D23" t="s">
        <v>161</v>
      </c>
      <c r="E23" t="str">
        <f>"&lt;p&gt;&lt;strong&gt;ID:&lt;/strong&gt; &lt;span " &amp; D23 &amp; "id&gt;" &amp; C23 &amp; "&lt;/span&gt;&lt;/p&gt;"</f>
        <v>&lt;p&gt;&lt;strong&gt;ID:&lt;/strong&gt; &lt;span mbl-id&gt;move_battle_style &lt;/span&gt;&lt;/p&gt;</v>
      </c>
    </row>
    <row r="24" spans="1:6" x14ac:dyDescent="0.25">
      <c r="A24" s="2" t="s">
        <v>74</v>
      </c>
      <c r="B24" s="6" t="s">
        <v>126</v>
      </c>
      <c r="C24" t="str">
        <f>SUBSTITUTE(A24,"-","_")</f>
        <v xml:space="preserve">move_ailment </v>
      </c>
      <c r="D24" t="s">
        <v>178</v>
      </c>
      <c r="E24" t="str">
        <f>"&lt;p&gt;&lt;strong&gt;ID:&lt;/strong&gt; &lt;span " &amp; D24 &amp; "id&gt;" &amp; C24 &amp; "&lt;/span&gt;&lt;/p&gt;"</f>
        <v>&lt;p&gt;&lt;strong&gt;ID:&lt;/strong&gt; &lt;span mal-id&gt;move_ailment &lt;/span&gt;&lt;/p&gt;</v>
      </c>
    </row>
    <row r="25" spans="1:6" x14ac:dyDescent="0.25">
      <c r="A25" s="2" t="s">
        <v>72</v>
      </c>
      <c r="B25" s="6" t="s">
        <v>124</v>
      </c>
      <c r="C25" t="str">
        <f>SUBSTITUTE(A25,"-","_")</f>
        <v xml:space="preserve">machine </v>
      </c>
      <c r="D25" t="str">
        <f>CONCATENATE(LEFT(A25,1),"a-")</f>
        <v>ma-</v>
      </c>
      <c r="E25" t="str">
        <f>"&lt;p&gt;&lt;strong&gt;ID:&lt;/strong&gt; &lt;span " &amp; D25 &amp; "id&gt;" &amp; C25 &amp; "&lt;/span&gt;&lt;/p&gt;"</f>
        <v>&lt;p&gt;&lt;strong&gt;ID:&lt;/strong&gt; &lt;span ma-id&gt;machine &lt;/span&gt;&lt;/p&gt;</v>
      </c>
    </row>
    <row r="26" spans="1:6" x14ac:dyDescent="0.25">
      <c r="A26" s="2" t="s">
        <v>73</v>
      </c>
      <c r="B26" s="6" t="s">
        <v>125</v>
      </c>
      <c r="C26" t="str">
        <f>SUBSTITUTE(A26,"-","_")</f>
        <v xml:space="preserve">move </v>
      </c>
      <c r="D26" t="str">
        <f>CONCATENATE(LEFT(A26,1),"-")</f>
        <v>m-</v>
      </c>
      <c r="E26" t="str">
        <f>"&lt;p&gt;&lt;strong&gt;ID:&lt;/strong&gt; &lt;span " &amp; D26 &amp; "id&gt;" &amp; C26 &amp; "&lt;/span&gt;&lt;/p&gt;"</f>
        <v>&lt;p&gt;&lt;strong&gt;ID:&lt;/strong&gt; &lt;span m-id&gt;move &lt;/span&gt;&lt;/p&gt;</v>
      </c>
      <c r="F26">
        <v>5</v>
      </c>
    </row>
    <row r="27" spans="1:6" x14ac:dyDescent="0.25">
      <c r="A27" s="2" t="s">
        <v>70</v>
      </c>
      <c r="B27" s="6" t="s">
        <v>122</v>
      </c>
      <c r="C27" t="str">
        <f>SUBSTITUTE(A27,"-","_")</f>
        <v xml:space="preserve">location </v>
      </c>
      <c r="D27" t="str">
        <f>CONCATENATE(LEFT(A27,1),"o-")</f>
        <v>lo-</v>
      </c>
      <c r="E27" t="str">
        <f>"&lt;p&gt;&lt;strong&gt;ID:&lt;/strong&gt; &lt;span " &amp; D27 &amp; "id&gt;" &amp; C27 &amp; "&lt;/span&gt;&lt;/p&gt;"</f>
        <v>&lt;p&gt;&lt;strong&gt;ID:&lt;/strong&gt; &lt;span lo-id&gt;location &lt;/span&gt;&lt;/p&gt;</v>
      </c>
    </row>
    <row r="28" spans="1:6" x14ac:dyDescent="0.25">
      <c r="A28" s="2" t="s">
        <v>71</v>
      </c>
      <c r="B28" s="6" t="s">
        <v>123</v>
      </c>
      <c r="C28" t="str">
        <f>SUBSTITUTE(A28,"-","_")</f>
        <v xml:space="preserve">location_area </v>
      </c>
      <c r="D28" t="s">
        <v>162</v>
      </c>
      <c r="E28" t="str">
        <f>"&lt;p&gt;&lt;strong&gt;ID:&lt;/strong&gt; &lt;span " &amp; D28 &amp; "id&gt;" &amp; C28 &amp; "&lt;/span&gt;&lt;/p&gt;"</f>
        <v>&lt;p&gt;&lt;strong&gt;ID:&lt;/strong&gt; &lt;span la-id&gt;location_area &lt;/span&gt;&lt;/p&gt;</v>
      </c>
    </row>
    <row r="29" spans="1:6" x14ac:dyDescent="0.25">
      <c r="A29" s="2" t="s">
        <v>69</v>
      </c>
      <c r="B29" s="6" t="s">
        <v>121</v>
      </c>
      <c r="C29" t="str">
        <f>SUBSTITUTE(A29,"-","_")</f>
        <v xml:space="preserve">language </v>
      </c>
      <c r="D29" t="str">
        <f>CONCATENATE(LEFT(A29,1),"-")</f>
        <v>l-</v>
      </c>
      <c r="E29" t="str">
        <f>"&lt;p&gt;&lt;strong&gt;ID:&lt;/strong&gt; &lt;span " &amp; D29 &amp; "id&gt;" &amp; C29 &amp; "&lt;/span&gt;&lt;/p&gt;"</f>
        <v>&lt;p&gt;&lt;strong&gt;ID:&lt;/strong&gt; &lt;span l-id&gt;language &lt;/span&gt;&lt;/p&gt;</v>
      </c>
    </row>
    <row r="30" spans="1:6" x14ac:dyDescent="0.25">
      <c r="A30" s="2" t="s">
        <v>68</v>
      </c>
      <c r="B30" s="6" t="s">
        <v>120</v>
      </c>
      <c r="C30" t="str">
        <f>SUBSTITUTE(A30,"-","_")</f>
        <v xml:space="preserve">item_pocket </v>
      </c>
      <c r="D30" t="s">
        <v>163</v>
      </c>
      <c r="E30" t="str">
        <f>"&lt;p&gt;&lt;strong&gt;ID:&lt;/strong&gt; &lt;span " &amp; D30 &amp; "id&gt;" &amp; C30 &amp; "&lt;/span&gt;&lt;/p&gt;"</f>
        <v>&lt;p&gt;&lt;strong&gt;ID:&lt;/strong&gt; &lt;span ip-id&gt;item_pocket &lt;/span&gt;&lt;/p&gt;</v>
      </c>
    </row>
    <row r="31" spans="1:6" x14ac:dyDescent="0.25">
      <c r="A31" s="2" t="s">
        <v>67</v>
      </c>
      <c r="B31" s="6" t="s">
        <v>119</v>
      </c>
      <c r="C31" t="str">
        <f>SUBSTITUTE(A31,"-","_")</f>
        <v xml:space="preserve">item_fling_effect </v>
      </c>
      <c r="D31" t="s">
        <v>164</v>
      </c>
      <c r="E31" t="str">
        <f>"&lt;p&gt;&lt;strong&gt;ID:&lt;/strong&gt; &lt;span " &amp; D31 &amp; "id&gt;" &amp; C31 &amp; "&lt;/span&gt;&lt;/p&gt;"</f>
        <v>&lt;p&gt;&lt;strong&gt;ID:&lt;/strong&gt; &lt;span ife-id&gt;item_fling_effect &lt;/span&gt;&lt;/p&gt;</v>
      </c>
    </row>
    <row r="32" spans="1:6" x14ac:dyDescent="0.25">
      <c r="A32" s="2" t="s">
        <v>66</v>
      </c>
      <c r="B32" s="6" t="s">
        <v>118</v>
      </c>
      <c r="C32" t="str">
        <f>SUBSTITUTE(A32,"-","_")</f>
        <v xml:space="preserve">item_category </v>
      </c>
      <c r="D32" t="s">
        <v>165</v>
      </c>
      <c r="E32" t="str">
        <f>"&lt;p&gt;&lt;strong&gt;ID:&lt;/strong&gt; &lt;span " &amp; D32 &amp; "id&gt;" &amp; C32 &amp; "&lt;/span&gt;&lt;/p&gt;"</f>
        <v>&lt;p&gt;&lt;strong&gt;ID:&lt;/strong&gt; &lt;span ic-id&gt;item_category &lt;/span&gt;&lt;/p&gt;</v>
      </c>
    </row>
    <row r="33" spans="1:6" x14ac:dyDescent="0.25">
      <c r="A33" s="2" t="s">
        <v>65</v>
      </c>
      <c r="B33" s="6" t="s">
        <v>117</v>
      </c>
      <c r="C33" t="str">
        <f>SUBSTITUTE(A33,"-","_")</f>
        <v xml:space="preserve">item_attribute </v>
      </c>
      <c r="D33" t="s">
        <v>166</v>
      </c>
      <c r="E33" t="str">
        <f>"&lt;p&gt;&lt;strong&gt;ID:&lt;/strong&gt; &lt;span " &amp; D33 &amp; "id&gt;" &amp; C33 &amp; "&lt;/span&gt;&lt;/p&gt;"</f>
        <v>&lt;p&gt;&lt;strong&gt;ID:&lt;/strong&gt; &lt;span ia-id&gt;item_attribute &lt;/span&gt;&lt;/p&gt;</v>
      </c>
    </row>
    <row r="34" spans="1:6" x14ac:dyDescent="0.25">
      <c r="A34" s="2" t="s">
        <v>64</v>
      </c>
      <c r="B34" s="6" t="s">
        <v>116</v>
      </c>
      <c r="C34" t="str">
        <f>SUBSTITUTE(A34,"-","_")</f>
        <v xml:space="preserve">item </v>
      </c>
      <c r="D34" t="str">
        <f>CONCATENATE(LEFT(A34,1),"-")</f>
        <v>i-</v>
      </c>
      <c r="E34" t="str">
        <f>"&lt;p&gt;&lt;strong&gt;ID:&lt;/strong&gt; &lt;span " &amp; D34 &amp; "id&gt;" &amp; C34 &amp; "&lt;/span&gt;&lt;/p&gt;"</f>
        <v>&lt;p&gt;&lt;strong&gt;ID:&lt;/strong&gt; &lt;span i-id&gt;item &lt;/span&gt;&lt;/p&gt;</v>
      </c>
    </row>
    <row r="35" spans="1:6" x14ac:dyDescent="0.25">
      <c r="A35" s="2" t="s">
        <v>63</v>
      </c>
      <c r="B35" s="6" t="s">
        <v>115</v>
      </c>
      <c r="C35" t="str">
        <f>SUBSTITUTE(A35,"-","_")</f>
        <v xml:space="preserve">growth_rate </v>
      </c>
      <c r="D35" t="s">
        <v>167</v>
      </c>
      <c r="E35" t="str">
        <f>"&lt;p&gt;&lt;strong&gt;ID:&lt;/strong&gt; &lt;span " &amp; D35 &amp; "id&gt;" &amp; C35 &amp; "&lt;/span&gt;&lt;/p&gt;"</f>
        <v>&lt;p&gt;&lt;strong&gt;ID:&lt;/strong&gt; &lt;span gr-id&gt;growth_rate &lt;/span&gt;&lt;/p&gt;</v>
      </c>
    </row>
    <row r="36" spans="1:6" x14ac:dyDescent="0.25">
      <c r="A36" s="2" t="s">
        <v>62</v>
      </c>
      <c r="B36" s="6" t="s">
        <v>114</v>
      </c>
      <c r="C36" t="str">
        <f>SUBSTITUTE(A36,"-","_")</f>
        <v xml:space="preserve">generation </v>
      </c>
      <c r="D36" t="str">
        <f>CONCATENATE(LEFT(A36,1),"n-")</f>
        <v>gn-</v>
      </c>
      <c r="E36" t="str">
        <f>"&lt;p&gt;&lt;strong&gt;ID:&lt;/strong&gt; &lt;span " &amp; D36 &amp; "id&gt;" &amp; C36 &amp; "&lt;/span&gt;&lt;/p&gt;"</f>
        <v>&lt;p&gt;&lt;strong&gt;ID:&lt;/strong&gt; &lt;span gn-id&gt;generation &lt;/span&gt;&lt;/p&gt;</v>
      </c>
    </row>
    <row r="37" spans="1:6" x14ac:dyDescent="0.25">
      <c r="A37" s="2" t="s">
        <v>61</v>
      </c>
      <c r="B37" s="6" t="s">
        <v>113</v>
      </c>
      <c r="C37" t="str">
        <f>SUBSTITUTE(A37,"-","_")</f>
        <v xml:space="preserve">gender </v>
      </c>
      <c r="D37" t="str">
        <f>CONCATENATE(LEFT(A37,1),"-")</f>
        <v>g-</v>
      </c>
      <c r="E37" t="str">
        <f>"&lt;p&gt;&lt;strong&gt;ID:&lt;/strong&gt; &lt;span " &amp; D37 &amp; "id&gt;" &amp; C37 &amp; "&lt;/span&gt;&lt;/p&gt;"</f>
        <v>&lt;p&gt;&lt;strong&gt;ID:&lt;/strong&gt; &lt;span g-id&gt;gender &lt;/span&gt;&lt;/p&gt;</v>
      </c>
    </row>
    <row r="38" spans="1:6" x14ac:dyDescent="0.25">
      <c r="A38" s="2" t="s">
        <v>60</v>
      </c>
      <c r="B38" s="6" t="s">
        <v>112</v>
      </c>
      <c r="C38" t="str">
        <f>SUBSTITUTE(A38,"-","_")</f>
        <v xml:space="preserve">evolution_trigger </v>
      </c>
      <c r="D38" t="s">
        <v>176</v>
      </c>
      <c r="E38" t="str">
        <f>"&lt;p&gt;&lt;strong&gt;ID:&lt;/strong&gt; &lt;span " &amp; D38 &amp; "id&gt;" &amp; C38 &amp; "&lt;/span&gt;&lt;/p&gt;"</f>
        <v>&lt;p&gt;&lt;strong&gt;ID:&lt;/strong&gt; &lt;span et-id&gt;evolution_trigger &lt;/span&gt;&lt;/p&gt;</v>
      </c>
    </row>
    <row r="39" spans="1:6" x14ac:dyDescent="0.25">
      <c r="A39" s="2" t="s">
        <v>58</v>
      </c>
      <c r="B39" s="6" t="s">
        <v>110</v>
      </c>
      <c r="C39" t="str">
        <f>SUBSTITUTE(A39,"-","_")</f>
        <v xml:space="preserve">encounter_method </v>
      </c>
      <c r="D39" t="s">
        <v>168</v>
      </c>
      <c r="E39" t="str">
        <f>"&lt;p&gt;&lt;strong&gt;ID:&lt;/strong&gt; &lt;span " &amp; D39 &amp; "id&gt;" &amp; C39 &amp; "&lt;/span&gt;&lt;/p&gt;"</f>
        <v>&lt;p&gt;&lt;strong&gt;ID:&lt;/strong&gt; &lt;span em-id&gt;encounter_method &lt;/span&gt;&lt;/p&gt;</v>
      </c>
    </row>
    <row r="40" spans="1:6" x14ac:dyDescent="0.25">
      <c r="A40" s="2" t="s">
        <v>55</v>
      </c>
      <c r="B40" s="6" t="s">
        <v>107</v>
      </c>
      <c r="C40" t="str">
        <f>SUBSTITUTE(A40,"-","_")</f>
        <v xml:space="preserve">egg_group </v>
      </c>
      <c r="D40" t="s">
        <v>169</v>
      </c>
      <c r="E40" t="str">
        <f>"&lt;p&gt;&lt;strong&gt;ID:&lt;/strong&gt; &lt;span " &amp; D40 &amp; "id&gt;" &amp; C40 &amp; "&lt;/span&gt;&lt;/p&gt;"</f>
        <v>&lt;p&gt;&lt;strong&gt;ID:&lt;/strong&gt; &lt;span eg-id&gt;egg_group &lt;/span&gt;&lt;/p&gt;</v>
      </c>
    </row>
    <row r="41" spans="1:6" x14ac:dyDescent="0.25">
      <c r="A41" s="2" t="s">
        <v>57</v>
      </c>
      <c r="B41" s="6" t="s">
        <v>109</v>
      </c>
      <c r="C41" t="str">
        <f>SUBSTITUTE(A41,"-","_")</f>
        <v xml:space="preserve">encounter_condition_value </v>
      </c>
      <c r="D41" t="s">
        <v>170</v>
      </c>
      <c r="E41" t="str">
        <f>"&lt;p&gt;&lt;strong&gt;ID:&lt;/strong&gt; &lt;span " &amp; D41 &amp; "id&gt;" &amp; C41 &amp; "&lt;/span&gt;&lt;/p&gt;"</f>
        <v>&lt;p&gt;&lt;strong&gt;ID:&lt;/strong&gt; &lt;span ecv-id&gt;encounter_condition_value &lt;/span&gt;&lt;/p&gt;</v>
      </c>
    </row>
    <row r="42" spans="1:6" x14ac:dyDescent="0.25">
      <c r="A42" s="2" t="s">
        <v>56</v>
      </c>
      <c r="B42" s="6" t="s">
        <v>108</v>
      </c>
      <c r="C42" t="str">
        <f>SUBSTITUTE(A42,"-","_")</f>
        <v xml:space="preserve">encounter_condition </v>
      </c>
      <c r="D42" t="s">
        <v>171</v>
      </c>
      <c r="E42" t="str">
        <f>"&lt;p&gt;&lt;strong&gt;ID:&lt;/strong&gt; &lt;span " &amp; D42 &amp; "id&gt;" &amp; C42 &amp; "&lt;/span&gt;&lt;/p&gt;"</f>
        <v>&lt;p&gt;&lt;strong&gt;ID:&lt;/strong&gt; &lt;span ec-id&gt;encounter_condition &lt;/span&gt;&lt;/p&gt;</v>
      </c>
    </row>
    <row r="43" spans="1:6" x14ac:dyDescent="0.25">
      <c r="A43" s="2" t="s">
        <v>59</v>
      </c>
      <c r="B43" s="6" t="s">
        <v>111</v>
      </c>
      <c r="C43" t="str">
        <f>SUBSTITUTE(A43,"-","_")</f>
        <v xml:space="preserve">evolution_chain </v>
      </c>
      <c r="D43" t="str">
        <f>CONCATENATE(LEFT(A43,1),"c-")</f>
        <v>ec-</v>
      </c>
      <c r="E43" t="str">
        <f>"&lt;p&gt;&lt;strong&gt;ID:&lt;/strong&gt; &lt;span " &amp; D43 &amp; "id&gt;" &amp; C43 &amp; "&lt;/span&gt;&lt;/p&gt;"</f>
        <v>&lt;p&gt;&lt;strong&gt;ID:&lt;/strong&gt; &lt;span ec-id&gt;evolution_chain &lt;/span&gt;&lt;/p&gt;</v>
      </c>
      <c r="F43">
        <v>4</v>
      </c>
    </row>
    <row r="44" spans="1:6" x14ac:dyDescent="0.25">
      <c r="A44" s="2" t="s">
        <v>54</v>
      </c>
      <c r="B44" s="6" t="s">
        <v>106</v>
      </c>
      <c r="C44" t="str">
        <f>SUBSTITUTE(A44,"-","_")</f>
        <v xml:space="preserve">contest_type </v>
      </c>
      <c r="D44" t="s">
        <v>172</v>
      </c>
      <c r="E44" t="str">
        <f>"&lt;p&gt;&lt;strong&gt;ID:&lt;/strong&gt; &lt;span " &amp; D44 &amp; "id&gt;" &amp; C44 &amp; "&lt;/span&gt;&lt;/p&gt;"</f>
        <v>&lt;p&gt;&lt;strong&gt;ID:&lt;/strong&gt; &lt;span ct-id&gt;contest_type &lt;/span&gt;&lt;/p&gt;</v>
      </c>
    </row>
    <row r="45" spans="1:6" x14ac:dyDescent="0.25">
      <c r="A45" s="2" t="s">
        <v>53</v>
      </c>
      <c r="B45" s="6" t="s">
        <v>105</v>
      </c>
      <c r="C45" t="str">
        <f>SUBSTITUTE(A45,"-","_")</f>
        <v xml:space="preserve">contest_effect </v>
      </c>
      <c r="D45" t="s">
        <v>173</v>
      </c>
      <c r="E45" t="str">
        <f>"&lt;p&gt;&lt;strong&gt;ID:&lt;/strong&gt; &lt;span " &amp; D45 &amp; "id&gt;" &amp; C45 &amp; "&lt;/span&gt;&lt;/p&gt;"</f>
        <v>&lt;p&gt;&lt;strong&gt;ID:&lt;/strong&gt; &lt;span ce-id&gt;contest_effect &lt;/span&gt;&lt;/p&gt;</v>
      </c>
    </row>
    <row r="46" spans="1:6" x14ac:dyDescent="0.25">
      <c r="A46" s="2" t="s">
        <v>52</v>
      </c>
      <c r="B46" s="6" t="s">
        <v>104</v>
      </c>
      <c r="C46" t="str">
        <f>SUBSTITUTE(A46,"-","_")</f>
        <v xml:space="preserve">characteristic </v>
      </c>
      <c r="D46" t="str">
        <f>CONCATENATE(LEFT(A46,1),"-")</f>
        <v>c-</v>
      </c>
      <c r="E46" t="str">
        <f>"&lt;p&gt;&lt;strong&gt;ID:&lt;/strong&gt; &lt;span " &amp; D46 &amp; "id&gt;" &amp; C46 &amp; "&lt;/span&gt;&lt;/p&gt;"</f>
        <v>&lt;p&gt;&lt;strong&gt;ID:&lt;/strong&gt; &lt;span c-id&gt;characteristic &lt;/span&gt;&lt;/p&gt;</v>
      </c>
    </row>
    <row r="47" spans="1:6" x14ac:dyDescent="0.25">
      <c r="A47" s="2" t="s">
        <v>50</v>
      </c>
      <c r="B47" s="6" t="s">
        <v>102</v>
      </c>
      <c r="C47" t="str">
        <f>SUBSTITUTE(A47,"-","_")</f>
        <v xml:space="preserve">berry_firmness </v>
      </c>
      <c r="D47" t="s">
        <v>177</v>
      </c>
      <c r="E47" t="str">
        <f>"&lt;p&gt;&lt;strong&gt;ID:&lt;/strong&gt; &lt;span " &amp; D47 &amp; "id&gt;" &amp; C47 &amp; "&lt;/span&gt;&lt;/p&gt;"</f>
        <v>&lt;p&gt;&lt;strong&gt;ID:&lt;/strong&gt; &lt;span bfi-id&gt;berry_firmness &lt;/span&gt;&lt;/p&gt;</v>
      </c>
    </row>
    <row r="48" spans="1:6" x14ac:dyDescent="0.25">
      <c r="A48" s="2" t="s">
        <v>51</v>
      </c>
      <c r="B48" s="6" t="s">
        <v>103</v>
      </c>
      <c r="C48" s="3" t="str">
        <f>SUBSTITUTE(A48,"-","_")</f>
        <v xml:space="preserve">berry_flavor </v>
      </c>
      <c r="D48" t="s">
        <v>174</v>
      </c>
      <c r="E48" t="str">
        <f>"&lt;p&gt;&lt;strong&gt;ID:&lt;/strong&gt; &lt;span " &amp; D48 &amp; "id&gt;" &amp; C48 &amp; "&lt;/span&gt;&lt;/p&gt;"</f>
        <v>&lt;p&gt;&lt;strong&gt;ID:&lt;/strong&gt; &lt;span bf-id&gt;berry_flavor &lt;/span&gt;&lt;/p&gt;</v>
      </c>
    </row>
    <row r="49" spans="1:5" x14ac:dyDescent="0.25">
      <c r="A49" s="2" t="s">
        <v>49</v>
      </c>
      <c r="B49" s="6" t="s">
        <v>101</v>
      </c>
      <c r="C49" t="str">
        <f>SUBSTITUTE(A49,"-","_")</f>
        <v xml:space="preserve">berry </v>
      </c>
      <c r="D49" t="str">
        <f>CONCATENATE(LEFT(A49,1),"-")</f>
        <v>b-</v>
      </c>
      <c r="E49" t="str">
        <f>"&lt;p&gt;&lt;strong&gt;ID:&lt;/strong&gt; &lt;span " &amp; D49 &amp; "id&gt;" &amp; C49 &amp; "&lt;/span&gt;&lt;/p&gt;"</f>
        <v>&lt;p&gt;&lt;strong&gt;ID:&lt;/strong&gt; &lt;span b-id&gt;berry &lt;/span&gt;&lt;/p&gt;</v>
      </c>
    </row>
    <row r="50" spans="1:5" x14ac:dyDescent="0.25">
      <c r="C50" s="3"/>
    </row>
  </sheetData>
  <autoFilter ref="A1:H49">
    <sortState ref="A2:H49">
      <sortCondition ref="F1"/>
    </sortState>
  </autoFilter>
  <sortState ref="A2:D49">
    <sortCondition ref="C1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2026-02-21T21:29:37Z</dcterms:modified>
</cp:coreProperties>
</file>