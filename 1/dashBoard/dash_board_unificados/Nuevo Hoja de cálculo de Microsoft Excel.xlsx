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ja1" sheetId="1" state="visible" r:id="rId3"/>
    <sheet name="Hoja2" sheetId="2" state="visible" r:id="rId4"/>
    <sheet name="Hoja3" sheetId="3" state="visible" r:id="rId5"/>
  </sheets>
  <definedNames>
    <definedName function="false" hidden="true" localSheetId="1" name="_xlnm._FilterDatabase" vbProcedure="false">Hoja2!$A$1:$H$49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<sst xmlns="http://schemas.openxmlformats.org/spreadsheetml/2006/main" count="184" uniqueCount="184">
  <si>
    <r>
      <rPr>
        <sz val="11"/>
        <color rgb="FF569CD6"/>
        <rFont val="Consolas"/>
        <family val="3"/>
        <charset val="1"/>
      </rPr>
      <t xml:space="preserve">ability</t>
    </r>
    <r>
      <rPr>
        <sz val="11"/>
        <color rgb="FFCCCCCC"/>
        <rFont val="Consolas"/>
        <family val="3"/>
        <charset val="1"/>
      </rPr>
      <t xml:space="preserve"> : </t>
    </r>
    <r>
      <rPr>
        <sz val="11"/>
        <color rgb="FFCE9178"/>
        <rFont val="Consolas"/>
        <family val="3"/>
        <charset val="1"/>
      </rPr>
      <t xml:space="preserve">"https : //pokeapi.co/api/v2/ability/"</t>
    </r>
  </si>
  <si>
    <r>
      <rPr>
        <sz val="11"/>
        <color rgb="FF569CD6"/>
        <rFont val="Consolas"/>
        <family val="3"/>
        <charset val="1"/>
      </rPr>
      <t xml:space="preserve">berry</t>
    </r>
    <r>
      <rPr>
        <sz val="11"/>
        <color rgb="FFCCCCCC"/>
        <rFont val="Consolas"/>
        <family val="3"/>
        <charset val="1"/>
      </rPr>
      <t xml:space="preserve"> : </t>
    </r>
    <r>
      <rPr>
        <sz val="11"/>
        <color rgb="FFCE9178"/>
        <rFont val="Consolas"/>
        <family val="3"/>
        <charset val="1"/>
      </rPr>
      <t xml:space="preserve">"https : //pokeapi.co/api/v2/berry/"</t>
    </r>
  </si>
  <si>
    <r>
      <rPr>
        <sz val="11"/>
        <color rgb="FF569CD6"/>
        <rFont val="Consolas"/>
        <family val="3"/>
        <charset val="1"/>
      </rPr>
      <t xml:space="preserve">berry-firmness</t>
    </r>
    <r>
      <rPr>
        <sz val="11"/>
        <color rgb="FFCCCCCC"/>
        <rFont val="Consolas"/>
        <family val="3"/>
        <charset val="1"/>
      </rPr>
      <t xml:space="preserve"> : </t>
    </r>
    <r>
      <rPr>
        <sz val="11"/>
        <color rgb="FFCE9178"/>
        <rFont val="Consolas"/>
        <family val="3"/>
        <charset val="1"/>
      </rPr>
      <t xml:space="preserve">"https : //pokeapi.co/api/v2/berry-firmness/"</t>
    </r>
  </si>
  <si>
    <r>
      <rPr>
        <sz val="11"/>
        <color rgb="FF569CD6"/>
        <rFont val="Consolas"/>
        <family val="3"/>
        <charset val="1"/>
      </rPr>
      <t xml:space="preserve">berry-flavor</t>
    </r>
    <r>
      <rPr>
        <sz val="11"/>
        <color rgb="FFCCCCCC"/>
        <rFont val="Consolas"/>
        <family val="3"/>
        <charset val="1"/>
      </rPr>
      <t xml:space="preserve"> : </t>
    </r>
    <r>
      <rPr>
        <sz val="11"/>
        <color rgb="FFCE9178"/>
        <rFont val="Consolas"/>
        <family val="3"/>
        <charset val="1"/>
      </rPr>
      <t xml:space="preserve">"https : //pokeapi.co/api/v2/berry-flavor/"</t>
    </r>
  </si>
  <si>
    <r>
      <rPr>
        <sz val="11"/>
        <color rgb="FF569CD6"/>
        <rFont val="Consolas"/>
        <family val="3"/>
        <charset val="1"/>
      </rPr>
      <t xml:space="preserve">characteristic</t>
    </r>
    <r>
      <rPr>
        <sz val="11"/>
        <color rgb="FFCCCCCC"/>
        <rFont val="Consolas"/>
        <family val="3"/>
        <charset val="1"/>
      </rPr>
      <t xml:space="preserve"> : </t>
    </r>
    <r>
      <rPr>
        <sz val="11"/>
        <color rgb="FFCE9178"/>
        <rFont val="Consolas"/>
        <family val="3"/>
        <charset val="1"/>
      </rPr>
      <t xml:space="preserve">"https : //pokeapi.co/api/v2/characteristic/"</t>
    </r>
  </si>
  <si>
    <r>
      <rPr>
        <sz val="11"/>
        <color rgb="FF569CD6"/>
        <rFont val="Consolas"/>
        <family val="3"/>
        <charset val="1"/>
      </rPr>
      <t xml:space="preserve">contest-effect</t>
    </r>
    <r>
      <rPr>
        <sz val="11"/>
        <color rgb="FFCCCCCC"/>
        <rFont val="Consolas"/>
        <family val="3"/>
        <charset val="1"/>
      </rPr>
      <t xml:space="preserve"> : </t>
    </r>
    <r>
      <rPr>
        <sz val="11"/>
        <color rgb="FFCE9178"/>
        <rFont val="Consolas"/>
        <family val="3"/>
        <charset val="1"/>
      </rPr>
      <t xml:space="preserve">"https : //pokeapi.co/api/v2/contest-effect/"</t>
    </r>
  </si>
  <si>
    <r>
      <rPr>
        <sz val="11"/>
        <color rgb="FF569CD6"/>
        <rFont val="Consolas"/>
        <family val="3"/>
        <charset val="1"/>
      </rPr>
      <t xml:space="preserve">contest-type</t>
    </r>
    <r>
      <rPr>
        <sz val="11"/>
        <color rgb="FFCCCCCC"/>
        <rFont val="Consolas"/>
        <family val="3"/>
        <charset val="1"/>
      </rPr>
      <t xml:space="preserve"> : </t>
    </r>
    <r>
      <rPr>
        <sz val="11"/>
        <color rgb="FFCE9178"/>
        <rFont val="Consolas"/>
        <family val="3"/>
        <charset val="1"/>
      </rPr>
      <t xml:space="preserve">"https : //pokeapi.co/api/v2/contest-type/"</t>
    </r>
  </si>
  <si>
    <r>
      <rPr>
        <sz val="11"/>
        <color rgb="FF569CD6"/>
        <rFont val="Consolas"/>
        <family val="3"/>
        <charset val="1"/>
      </rPr>
      <t xml:space="preserve">egg-group</t>
    </r>
    <r>
      <rPr>
        <sz val="11"/>
        <color rgb="FFCCCCCC"/>
        <rFont val="Consolas"/>
        <family val="3"/>
        <charset val="1"/>
      </rPr>
      <t xml:space="preserve"> : </t>
    </r>
    <r>
      <rPr>
        <sz val="11"/>
        <color rgb="FFCE9178"/>
        <rFont val="Consolas"/>
        <family val="3"/>
        <charset val="1"/>
      </rPr>
      <t xml:space="preserve">"https : //pokeapi.co/api/v2/egg-group/"</t>
    </r>
  </si>
  <si>
    <r>
      <rPr>
        <sz val="11"/>
        <color rgb="FF569CD6"/>
        <rFont val="Consolas"/>
        <family val="3"/>
        <charset val="1"/>
      </rPr>
      <t xml:space="preserve">encounter-condition</t>
    </r>
    <r>
      <rPr>
        <sz val="11"/>
        <color rgb="FFCCCCCC"/>
        <rFont val="Consolas"/>
        <family val="3"/>
        <charset val="1"/>
      </rPr>
      <t xml:space="preserve"> : </t>
    </r>
    <r>
      <rPr>
        <sz val="11"/>
        <color rgb="FFCE9178"/>
        <rFont val="Consolas"/>
        <family val="3"/>
        <charset val="1"/>
      </rPr>
      <t xml:space="preserve">"https : //pokeapi.co/api/v2/encounter-condition/"</t>
    </r>
  </si>
  <si>
    <r>
      <rPr>
        <sz val="11"/>
        <color rgb="FF569CD6"/>
        <rFont val="Consolas"/>
        <family val="3"/>
        <charset val="1"/>
      </rPr>
      <t xml:space="preserve">encounter-condition-value</t>
    </r>
    <r>
      <rPr>
        <sz val="11"/>
        <color rgb="FFCCCCCC"/>
        <rFont val="Consolas"/>
        <family val="3"/>
        <charset val="1"/>
      </rPr>
      <t xml:space="preserve"> : </t>
    </r>
    <r>
      <rPr>
        <sz val="11"/>
        <color rgb="FFCE9178"/>
        <rFont val="Consolas"/>
        <family val="3"/>
        <charset val="1"/>
      </rPr>
      <t xml:space="preserve">"https : //pokeapi.co/api/v2/encounter-condition-value/"</t>
    </r>
  </si>
  <si>
    <r>
      <rPr>
        <sz val="11"/>
        <color rgb="FF569CD6"/>
        <rFont val="Consolas"/>
        <family val="3"/>
        <charset val="1"/>
      </rPr>
      <t xml:space="preserve">encounter-method</t>
    </r>
    <r>
      <rPr>
        <sz val="11"/>
        <color rgb="FFCCCCCC"/>
        <rFont val="Consolas"/>
        <family val="3"/>
        <charset val="1"/>
      </rPr>
      <t xml:space="preserve"> : </t>
    </r>
    <r>
      <rPr>
        <sz val="11"/>
        <color rgb="FFCE9178"/>
        <rFont val="Consolas"/>
        <family val="3"/>
        <charset val="1"/>
      </rPr>
      <t xml:space="preserve">"https : //pokeapi.co/api/v2/encounter-method/"</t>
    </r>
  </si>
  <si>
    <r>
      <rPr>
        <sz val="11"/>
        <color rgb="FF569CD6"/>
        <rFont val="Consolas"/>
        <family val="3"/>
        <charset val="1"/>
      </rPr>
      <t xml:space="preserve">evolution-chain</t>
    </r>
    <r>
      <rPr>
        <sz val="11"/>
        <color rgb="FFCCCCCC"/>
        <rFont val="Consolas"/>
        <family val="3"/>
        <charset val="1"/>
      </rPr>
      <t xml:space="preserve"> : </t>
    </r>
    <r>
      <rPr>
        <sz val="11"/>
        <color rgb="FFCE9178"/>
        <rFont val="Consolas"/>
        <family val="3"/>
        <charset val="1"/>
      </rPr>
      <t xml:space="preserve">"https : //pokeapi.co/api/v2/evolution-chain/"</t>
    </r>
  </si>
  <si>
    <r>
      <rPr>
        <sz val="11"/>
        <color rgb="FF569CD6"/>
        <rFont val="Consolas"/>
        <family val="3"/>
        <charset val="1"/>
      </rPr>
      <t xml:space="preserve">evolution-trigger</t>
    </r>
    <r>
      <rPr>
        <sz val="11"/>
        <color rgb="FFCCCCCC"/>
        <rFont val="Consolas"/>
        <family val="3"/>
        <charset val="1"/>
      </rPr>
      <t xml:space="preserve"> : </t>
    </r>
    <r>
      <rPr>
        <sz val="11"/>
        <color rgb="FFCE9178"/>
        <rFont val="Consolas"/>
        <family val="3"/>
        <charset val="1"/>
      </rPr>
      <t xml:space="preserve">"https : //pokeapi.co/api/v2/evolution-trigger/"</t>
    </r>
  </si>
  <si>
    <r>
      <rPr>
        <sz val="11"/>
        <color rgb="FF569CD6"/>
        <rFont val="Consolas"/>
        <family val="3"/>
        <charset val="1"/>
      </rPr>
      <t xml:space="preserve">gender</t>
    </r>
    <r>
      <rPr>
        <sz val="11"/>
        <color rgb="FFCCCCCC"/>
        <rFont val="Consolas"/>
        <family val="3"/>
        <charset val="1"/>
      </rPr>
      <t xml:space="preserve"> : </t>
    </r>
    <r>
      <rPr>
        <sz val="11"/>
        <color rgb="FFCE9178"/>
        <rFont val="Consolas"/>
        <family val="3"/>
        <charset val="1"/>
      </rPr>
      <t xml:space="preserve">"https : //pokeapi.co/api/v2/gender/"</t>
    </r>
  </si>
  <si>
    <r>
      <rPr>
        <sz val="11"/>
        <color rgb="FF569CD6"/>
        <rFont val="Consolas"/>
        <family val="3"/>
        <charset val="1"/>
      </rPr>
      <t xml:space="preserve">generation</t>
    </r>
    <r>
      <rPr>
        <sz val="11"/>
        <color rgb="FFCCCCCC"/>
        <rFont val="Consolas"/>
        <family val="3"/>
        <charset val="1"/>
      </rPr>
      <t xml:space="preserve"> : </t>
    </r>
    <r>
      <rPr>
        <sz val="11"/>
        <color rgb="FFCE9178"/>
        <rFont val="Consolas"/>
        <family val="3"/>
        <charset val="1"/>
      </rPr>
      <t xml:space="preserve">"https : //pokeapi.co/api/v2/generation/"</t>
    </r>
  </si>
  <si>
    <r>
      <rPr>
        <sz val="11"/>
        <color rgb="FF569CD6"/>
        <rFont val="Consolas"/>
        <family val="3"/>
        <charset val="1"/>
      </rPr>
      <t xml:space="preserve">growth-rate</t>
    </r>
    <r>
      <rPr>
        <sz val="11"/>
        <color rgb="FFCCCCCC"/>
        <rFont val="Consolas"/>
        <family val="3"/>
        <charset val="1"/>
      </rPr>
      <t xml:space="preserve"> : </t>
    </r>
    <r>
      <rPr>
        <sz val="11"/>
        <color rgb="FFCE9178"/>
        <rFont val="Consolas"/>
        <family val="3"/>
        <charset val="1"/>
      </rPr>
      <t xml:space="preserve">"https : //pokeapi.co/api/v2/growth-rate/"</t>
    </r>
  </si>
  <si>
    <r>
      <rPr>
        <sz val="11"/>
        <color rgb="FF569CD6"/>
        <rFont val="Consolas"/>
        <family val="3"/>
        <charset val="1"/>
      </rPr>
      <t xml:space="preserve">item</t>
    </r>
    <r>
      <rPr>
        <sz val="11"/>
        <color rgb="FFCCCCCC"/>
        <rFont val="Consolas"/>
        <family val="3"/>
        <charset val="1"/>
      </rPr>
      <t xml:space="preserve"> : </t>
    </r>
    <r>
      <rPr>
        <sz val="11"/>
        <color rgb="FFCE9178"/>
        <rFont val="Consolas"/>
        <family val="3"/>
        <charset val="1"/>
      </rPr>
      <t xml:space="preserve">"https : //pokeapi.co/api/v2/item/"</t>
    </r>
  </si>
  <si>
    <r>
      <rPr>
        <sz val="11"/>
        <color rgb="FF569CD6"/>
        <rFont val="Consolas"/>
        <family val="3"/>
        <charset val="1"/>
      </rPr>
      <t xml:space="preserve">item-attribute</t>
    </r>
    <r>
      <rPr>
        <sz val="11"/>
        <color rgb="FFCCCCCC"/>
        <rFont val="Consolas"/>
        <family val="3"/>
        <charset val="1"/>
      </rPr>
      <t xml:space="preserve"> : </t>
    </r>
    <r>
      <rPr>
        <sz val="11"/>
        <color rgb="FFCE9178"/>
        <rFont val="Consolas"/>
        <family val="3"/>
        <charset val="1"/>
      </rPr>
      <t xml:space="preserve">"https : //pokeapi.co/api/v2/item-attribute/"</t>
    </r>
  </si>
  <si>
    <r>
      <rPr>
        <sz val="11"/>
        <color rgb="FF569CD6"/>
        <rFont val="Consolas"/>
        <family val="3"/>
        <charset val="1"/>
      </rPr>
      <t xml:space="preserve">item-category</t>
    </r>
    <r>
      <rPr>
        <sz val="11"/>
        <color rgb="FFCCCCCC"/>
        <rFont val="Consolas"/>
        <family val="3"/>
        <charset val="1"/>
      </rPr>
      <t xml:space="preserve"> : </t>
    </r>
    <r>
      <rPr>
        <sz val="11"/>
        <color rgb="FFCE9178"/>
        <rFont val="Consolas"/>
        <family val="3"/>
        <charset val="1"/>
      </rPr>
      <t xml:space="preserve">"https : //pokeapi.co/api/v2/item-category/"</t>
    </r>
  </si>
  <si>
    <r>
      <rPr>
        <sz val="11"/>
        <color rgb="FF569CD6"/>
        <rFont val="Consolas"/>
        <family val="3"/>
        <charset val="1"/>
      </rPr>
      <t xml:space="preserve">item-fling-effect</t>
    </r>
    <r>
      <rPr>
        <sz val="11"/>
        <color rgb="FFCCCCCC"/>
        <rFont val="Consolas"/>
        <family val="3"/>
        <charset val="1"/>
      </rPr>
      <t xml:space="preserve"> : </t>
    </r>
    <r>
      <rPr>
        <sz val="11"/>
        <color rgb="FFCE9178"/>
        <rFont val="Consolas"/>
        <family val="3"/>
        <charset val="1"/>
      </rPr>
      <t xml:space="preserve">"https : //pokeapi.co/api/v2/item-fling-effect/"</t>
    </r>
  </si>
  <si>
    <r>
      <rPr>
        <sz val="11"/>
        <color rgb="FF569CD6"/>
        <rFont val="Consolas"/>
        <family val="3"/>
        <charset val="1"/>
      </rPr>
      <t xml:space="preserve">item-pocket</t>
    </r>
    <r>
      <rPr>
        <sz val="11"/>
        <color rgb="FFCCCCCC"/>
        <rFont val="Consolas"/>
        <family val="3"/>
        <charset val="1"/>
      </rPr>
      <t xml:space="preserve"> : </t>
    </r>
    <r>
      <rPr>
        <sz val="11"/>
        <color rgb="FFCE9178"/>
        <rFont val="Consolas"/>
        <family val="3"/>
        <charset val="1"/>
      </rPr>
      <t xml:space="preserve">"https : //pokeapi.co/api/v2/item-pocket/"</t>
    </r>
  </si>
  <si>
    <r>
      <rPr>
        <sz val="11"/>
        <color rgb="FF569CD6"/>
        <rFont val="Consolas"/>
        <family val="3"/>
        <charset val="1"/>
      </rPr>
      <t xml:space="preserve">language</t>
    </r>
    <r>
      <rPr>
        <sz val="11"/>
        <color rgb="FFCCCCCC"/>
        <rFont val="Consolas"/>
        <family val="3"/>
        <charset val="1"/>
      </rPr>
      <t xml:space="preserve"> : </t>
    </r>
    <r>
      <rPr>
        <sz val="11"/>
        <color rgb="FFCE9178"/>
        <rFont val="Consolas"/>
        <family val="3"/>
        <charset val="1"/>
      </rPr>
      <t xml:space="preserve">"https : //pokeapi.co/api/v2/language/"</t>
    </r>
  </si>
  <si>
    <r>
      <rPr>
        <sz val="11"/>
        <color rgb="FF569CD6"/>
        <rFont val="Consolas"/>
        <family val="3"/>
        <charset val="1"/>
      </rPr>
      <t xml:space="preserve">location</t>
    </r>
    <r>
      <rPr>
        <sz val="11"/>
        <color rgb="FFCCCCCC"/>
        <rFont val="Consolas"/>
        <family val="3"/>
        <charset val="1"/>
      </rPr>
      <t xml:space="preserve"> : </t>
    </r>
    <r>
      <rPr>
        <sz val="11"/>
        <color rgb="FFCE9178"/>
        <rFont val="Consolas"/>
        <family val="3"/>
        <charset val="1"/>
      </rPr>
      <t xml:space="preserve">"https : //pokeapi.co/api/v2/location/"</t>
    </r>
  </si>
  <si>
    <r>
      <rPr>
        <sz val="11"/>
        <color rgb="FF569CD6"/>
        <rFont val="Consolas"/>
        <family val="3"/>
        <charset val="1"/>
      </rPr>
      <t xml:space="preserve">location-area</t>
    </r>
    <r>
      <rPr>
        <sz val="11"/>
        <color rgb="FFCCCCCC"/>
        <rFont val="Consolas"/>
        <family val="3"/>
        <charset val="1"/>
      </rPr>
      <t xml:space="preserve"> : </t>
    </r>
    <r>
      <rPr>
        <sz val="11"/>
        <color rgb="FFCE9178"/>
        <rFont val="Consolas"/>
        <family val="3"/>
        <charset val="1"/>
      </rPr>
      <t xml:space="preserve">"https : //pokeapi.co/api/v2/location-area/"</t>
    </r>
  </si>
  <si>
    <r>
      <rPr>
        <sz val="11"/>
        <color rgb="FF569CD6"/>
        <rFont val="Consolas"/>
        <family val="3"/>
        <charset val="1"/>
      </rPr>
      <t xml:space="preserve">machine</t>
    </r>
    <r>
      <rPr>
        <sz val="11"/>
        <color rgb="FFCCCCCC"/>
        <rFont val="Consolas"/>
        <family val="3"/>
        <charset val="1"/>
      </rPr>
      <t xml:space="preserve"> : </t>
    </r>
    <r>
      <rPr>
        <sz val="11"/>
        <color rgb="FFCE9178"/>
        <rFont val="Consolas"/>
        <family val="3"/>
        <charset val="1"/>
      </rPr>
      <t xml:space="preserve">"https : //pokeapi.co/api/v2/machine/"</t>
    </r>
  </si>
  <si>
    <r>
      <rPr>
        <sz val="11"/>
        <color rgb="FF569CD6"/>
        <rFont val="Consolas"/>
        <family val="3"/>
        <charset val="1"/>
      </rPr>
      <t xml:space="preserve">move</t>
    </r>
    <r>
      <rPr>
        <sz val="11"/>
        <color rgb="FFCCCCCC"/>
        <rFont val="Consolas"/>
        <family val="3"/>
        <charset val="1"/>
      </rPr>
      <t xml:space="preserve"> : </t>
    </r>
    <r>
      <rPr>
        <sz val="11"/>
        <color rgb="FFCE9178"/>
        <rFont val="Consolas"/>
        <family val="3"/>
        <charset val="1"/>
      </rPr>
      <t xml:space="preserve">"https : //pokeapi.co/api/v2/move/"</t>
    </r>
  </si>
  <si>
    <r>
      <rPr>
        <sz val="11"/>
        <color rgb="FF569CD6"/>
        <rFont val="Consolas"/>
        <family val="3"/>
        <charset val="1"/>
      </rPr>
      <t xml:space="preserve">move-ailment</t>
    </r>
    <r>
      <rPr>
        <sz val="11"/>
        <color rgb="FFCCCCCC"/>
        <rFont val="Consolas"/>
        <family val="3"/>
        <charset val="1"/>
      </rPr>
      <t xml:space="preserve"> : </t>
    </r>
    <r>
      <rPr>
        <sz val="11"/>
        <color rgb="FFCE9178"/>
        <rFont val="Consolas"/>
        <family val="3"/>
        <charset val="1"/>
      </rPr>
      <t xml:space="preserve">"https : //pokeapi.co/api/v2/move-ailment/"</t>
    </r>
  </si>
  <si>
    <r>
      <rPr>
        <sz val="11"/>
        <color rgb="FF569CD6"/>
        <rFont val="Consolas"/>
        <family val="3"/>
        <charset val="1"/>
      </rPr>
      <t xml:space="preserve">move-battle-style</t>
    </r>
    <r>
      <rPr>
        <sz val="11"/>
        <color rgb="FFCCCCCC"/>
        <rFont val="Consolas"/>
        <family val="3"/>
        <charset val="1"/>
      </rPr>
      <t xml:space="preserve"> : </t>
    </r>
    <r>
      <rPr>
        <sz val="11"/>
        <color rgb="FFCE9178"/>
        <rFont val="Consolas"/>
        <family val="3"/>
        <charset val="1"/>
      </rPr>
      <t xml:space="preserve">"https : //pokeapi.co/api/v2/move-battle-style/"</t>
    </r>
  </si>
  <si>
    <r>
      <rPr>
        <sz val="11"/>
        <color rgb="FF569CD6"/>
        <rFont val="Consolas"/>
        <family val="3"/>
        <charset val="1"/>
      </rPr>
      <t xml:space="preserve">move-category</t>
    </r>
    <r>
      <rPr>
        <sz val="11"/>
        <color rgb="FFCCCCCC"/>
        <rFont val="Consolas"/>
        <family val="3"/>
        <charset val="1"/>
      </rPr>
      <t xml:space="preserve"> : </t>
    </r>
    <r>
      <rPr>
        <sz val="11"/>
        <color rgb="FFCE9178"/>
        <rFont val="Consolas"/>
        <family val="3"/>
        <charset val="1"/>
      </rPr>
      <t xml:space="preserve">"https : //pokeapi.co/api/v2/move-category/"</t>
    </r>
  </si>
  <si>
    <r>
      <rPr>
        <sz val="11"/>
        <color rgb="FF569CD6"/>
        <rFont val="Consolas"/>
        <family val="3"/>
        <charset val="1"/>
      </rPr>
      <t xml:space="preserve">move-damage-class</t>
    </r>
    <r>
      <rPr>
        <sz val="11"/>
        <color rgb="FFCCCCCC"/>
        <rFont val="Consolas"/>
        <family val="3"/>
        <charset val="1"/>
      </rPr>
      <t xml:space="preserve"> : </t>
    </r>
    <r>
      <rPr>
        <sz val="11"/>
        <color rgb="FFCE9178"/>
        <rFont val="Consolas"/>
        <family val="3"/>
        <charset val="1"/>
      </rPr>
      <t xml:space="preserve">"https : //pokeapi.co/api/v2/move-damage-class/"</t>
    </r>
  </si>
  <si>
    <r>
      <rPr>
        <sz val="11"/>
        <color rgb="FF569CD6"/>
        <rFont val="Consolas"/>
        <family val="3"/>
        <charset val="1"/>
      </rPr>
      <t xml:space="preserve">move-learn-method</t>
    </r>
    <r>
      <rPr>
        <sz val="11"/>
        <color rgb="FFCCCCCC"/>
        <rFont val="Consolas"/>
        <family val="3"/>
        <charset val="1"/>
      </rPr>
      <t xml:space="preserve"> : </t>
    </r>
    <r>
      <rPr>
        <sz val="11"/>
        <color rgb="FFCE9178"/>
        <rFont val="Consolas"/>
        <family val="3"/>
        <charset val="1"/>
      </rPr>
      <t xml:space="preserve">"https : //pokeapi.co/api/v2/move-learn-method/"</t>
    </r>
  </si>
  <si>
    <r>
      <rPr>
        <sz val="11"/>
        <color rgb="FF569CD6"/>
        <rFont val="Consolas"/>
        <family val="3"/>
        <charset val="1"/>
      </rPr>
      <t xml:space="preserve">move-target</t>
    </r>
    <r>
      <rPr>
        <sz val="11"/>
        <color rgb="FFCCCCCC"/>
        <rFont val="Consolas"/>
        <family val="3"/>
        <charset val="1"/>
      </rPr>
      <t xml:space="preserve"> : </t>
    </r>
    <r>
      <rPr>
        <sz val="11"/>
        <color rgb="FFCE9178"/>
        <rFont val="Consolas"/>
        <family val="3"/>
        <charset val="1"/>
      </rPr>
      <t xml:space="preserve">"https : //pokeapi.co/api/v2/move-target/"</t>
    </r>
  </si>
  <si>
    <r>
      <rPr>
        <sz val="11"/>
        <color rgb="FF569CD6"/>
        <rFont val="Consolas"/>
        <family val="3"/>
        <charset val="1"/>
      </rPr>
      <t xml:space="preserve">nature</t>
    </r>
    <r>
      <rPr>
        <sz val="11"/>
        <color rgb="FFCCCCCC"/>
        <rFont val="Consolas"/>
        <family val="3"/>
        <charset val="1"/>
      </rPr>
      <t xml:space="preserve"> : </t>
    </r>
    <r>
      <rPr>
        <sz val="11"/>
        <color rgb="FFCE9178"/>
        <rFont val="Consolas"/>
        <family val="3"/>
        <charset val="1"/>
      </rPr>
      <t xml:space="preserve">"https : //pokeapi.co/api/v2/nature/"</t>
    </r>
  </si>
  <si>
    <r>
      <rPr>
        <sz val="11"/>
        <color rgb="FF569CD6"/>
        <rFont val="Consolas"/>
        <family val="3"/>
        <charset val="1"/>
      </rPr>
      <t xml:space="preserve">pal-park-area</t>
    </r>
    <r>
      <rPr>
        <sz val="11"/>
        <color rgb="FFCCCCCC"/>
        <rFont val="Consolas"/>
        <family val="3"/>
        <charset val="1"/>
      </rPr>
      <t xml:space="preserve"> : </t>
    </r>
    <r>
      <rPr>
        <sz val="11"/>
        <color rgb="FFCE9178"/>
        <rFont val="Consolas"/>
        <family val="3"/>
        <charset val="1"/>
      </rPr>
      <t xml:space="preserve">"https : //pokeapi.co/api/v2/pal-park-area/"</t>
    </r>
  </si>
  <si>
    <r>
      <rPr>
        <sz val="11"/>
        <color rgb="FF569CD6"/>
        <rFont val="Consolas"/>
        <family val="3"/>
        <charset val="1"/>
      </rPr>
      <t xml:space="preserve">pokeathlon-stat</t>
    </r>
    <r>
      <rPr>
        <sz val="11"/>
        <color rgb="FFCCCCCC"/>
        <rFont val="Consolas"/>
        <family val="3"/>
        <charset val="1"/>
      </rPr>
      <t xml:space="preserve"> : </t>
    </r>
    <r>
      <rPr>
        <sz val="11"/>
        <color rgb="FFCE9178"/>
        <rFont val="Consolas"/>
        <family val="3"/>
        <charset val="1"/>
      </rPr>
      <t xml:space="preserve">"https : //pokeapi.co/api/v2/pokeathlon-stat/"</t>
    </r>
  </si>
  <si>
    <r>
      <rPr>
        <sz val="11"/>
        <color rgb="FF569CD6"/>
        <rFont val="Consolas"/>
        <family val="3"/>
        <charset val="1"/>
      </rPr>
      <t xml:space="preserve">pokedex</t>
    </r>
    <r>
      <rPr>
        <sz val="11"/>
        <color rgb="FFCCCCCC"/>
        <rFont val="Consolas"/>
        <family val="3"/>
        <charset val="1"/>
      </rPr>
      <t xml:space="preserve"> : </t>
    </r>
    <r>
      <rPr>
        <sz val="11"/>
        <color rgb="FFCE9178"/>
        <rFont val="Consolas"/>
        <family val="3"/>
        <charset val="1"/>
      </rPr>
      <t xml:space="preserve">"https : //pokeapi.co/api/v2/pokedex/"</t>
    </r>
  </si>
  <si>
    <r>
      <rPr>
        <sz val="11"/>
        <color rgb="FF569CD6"/>
        <rFont val="Consolas"/>
        <family val="3"/>
        <charset val="1"/>
      </rPr>
      <t xml:space="preserve">pokemon</t>
    </r>
    <r>
      <rPr>
        <sz val="11"/>
        <color rgb="FFCCCCCC"/>
        <rFont val="Consolas"/>
        <family val="3"/>
        <charset val="1"/>
      </rPr>
      <t xml:space="preserve"> : </t>
    </r>
    <r>
      <rPr>
        <sz val="11"/>
        <color rgb="FFCE9178"/>
        <rFont val="Consolas"/>
        <family val="3"/>
        <charset val="1"/>
      </rPr>
      <t xml:space="preserve">"https : //pokeapi.co/api/v2/pokemon/"</t>
    </r>
  </si>
  <si>
    <r>
      <rPr>
        <sz val="11"/>
        <color rgb="FF569CD6"/>
        <rFont val="Consolas"/>
        <family val="3"/>
        <charset val="1"/>
      </rPr>
      <t xml:space="preserve">pokemon-color</t>
    </r>
    <r>
      <rPr>
        <sz val="11"/>
        <color rgb="FFCCCCCC"/>
        <rFont val="Consolas"/>
        <family val="3"/>
        <charset val="1"/>
      </rPr>
      <t xml:space="preserve"> : </t>
    </r>
    <r>
      <rPr>
        <sz val="11"/>
        <color rgb="FFCE9178"/>
        <rFont val="Consolas"/>
        <family val="3"/>
        <charset val="1"/>
      </rPr>
      <t xml:space="preserve">"https : //pokeapi.co/api/v2/pokemon-color/"</t>
    </r>
  </si>
  <si>
    <r>
      <rPr>
        <sz val="11"/>
        <color rgb="FF569CD6"/>
        <rFont val="Consolas"/>
        <family val="3"/>
        <charset val="1"/>
      </rPr>
      <t xml:space="preserve">pokemon-form</t>
    </r>
    <r>
      <rPr>
        <sz val="11"/>
        <color rgb="FFCCCCCC"/>
        <rFont val="Consolas"/>
        <family val="3"/>
        <charset val="1"/>
      </rPr>
      <t xml:space="preserve"> : </t>
    </r>
    <r>
      <rPr>
        <sz val="11"/>
        <color rgb="FFCE9178"/>
        <rFont val="Consolas"/>
        <family val="3"/>
        <charset val="1"/>
      </rPr>
      <t xml:space="preserve">"https : //pokeapi.co/api/v2/pokemon-form/"</t>
    </r>
  </si>
  <si>
    <r>
      <rPr>
        <sz val="11"/>
        <color rgb="FF569CD6"/>
        <rFont val="Consolas"/>
        <family val="3"/>
        <charset val="1"/>
      </rPr>
      <t xml:space="preserve">pokemon-habitat</t>
    </r>
    <r>
      <rPr>
        <sz val="11"/>
        <color rgb="FFCCCCCC"/>
        <rFont val="Consolas"/>
        <family val="3"/>
        <charset val="1"/>
      </rPr>
      <t xml:space="preserve"> : </t>
    </r>
    <r>
      <rPr>
        <sz val="11"/>
        <color rgb="FFCE9178"/>
        <rFont val="Consolas"/>
        <family val="3"/>
        <charset val="1"/>
      </rPr>
      <t xml:space="preserve">"https : //pokeapi.co/api/v2/pokemon-habitat/"</t>
    </r>
  </si>
  <si>
    <r>
      <rPr>
        <sz val="11"/>
        <color rgb="FF569CD6"/>
        <rFont val="Consolas"/>
        <family val="3"/>
        <charset val="1"/>
      </rPr>
      <t xml:space="preserve">pokemon-shape</t>
    </r>
    <r>
      <rPr>
        <sz val="11"/>
        <color rgb="FFCCCCCC"/>
        <rFont val="Consolas"/>
        <family val="3"/>
        <charset val="1"/>
      </rPr>
      <t xml:space="preserve"> : </t>
    </r>
    <r>
      <rPr>
        <sz val="11"/>
        <color rgb="FFCE9178"/>
        <rFont val="Consolas"/>
        <family val="3"/>
        <charset val="1"/>
      </rPr>
      <t xml:space="preserve">"https : //pokeapi.co/api/v2/pokemon-shape/"</t>
    </r>
  </si>
  <si>
    <r>
      <rPr>
        <sz val="11"/>
        <color rgb="FF569CD6"/>
        <rFont val="Consolas"/>
        <family val="3"/>
        <charset val="1"/>
      </rPr>
      <t xml:space="preserve">pokemon-species</t>
    </r>
    <r>
      <rPr>
        <sz val="11"/>
        <color rgb="FFCCCCCC"/>
        <rFont val="Consolas"/>
        <family val="3"/>
        <charset val="1"/>
      </rPr>
      <t xml:space="preserve"> : </t>
    </r>
    <r>
      <rPr>
        <sz val="11"/>
        <color rgb="FFCE9178"/>
        <rFont val="Consolas"/>
        <family val="3"/>
        <charset val="1"/>
      </rPr>
      <t xml:space="preserve">"https : //pokeapi.co/api/v2/pokemon-species/"</t>
    </r>
  </si>
  <si>
    <r>
      <rPr>
        <sz val="11"/>
        <color rgb="FF569CD6"/>
        <rFont val="Consolas"/>
        <family val="3"/>
        <charset val="1"/>
      </rPr>
      <t xml:space="preserve">region</t>
    </r>
    <r>
      <rPr>
        <sz val="11"/>
        <color rgb="FFCCCCCC"/>
        <rFont val="Consolas"/>
        <family val="3"/>
        <charset val="1"/>
      </rPr>
      <t xml:space="preserve"> : </t>
    </r>
    <r>
      <rPr>
        <sz val="11"/>
        <color rgb="FFCE9178"/>
        <rFont val="Consolas"/>
        <family val="3"/>
        <charset val="1"/>
      </rPr>
      <t xml:space="preserve">"https : //pokeapi.co/api/v2/region/"</t>
    </r>
  </si>
  <si>
    <r>
      <rPr>
        <sz val="11"/>
        <color rgb="FF569CD6"/>
        <rFont val="Consolas"/>
        <family val="3"/>
        <charset val="1"/>
      </rPr>
      <t xml:space="preserve">stat</t>
    </r>
    <r>
      <rPr>
        <sz val="11"/>
        <color rgb="FFCCCCCC"/>
        <rFont val="Consolas"/>
        <family val="3"/>
        <charset val="1"/>
      </rPr>
      <t xml:space="preserve"> : </t>
    </r>
    <r>
      <rPr>
        <sz val="11"/>
        <color rgb="FFCE9178"/>
        <rFont val="Consolas"/>
        <family val="3"/>
        <charset val="1"/>
      </rPr>
      <t xml:space="preserve">"https : //pokeapi.co/api/v2/stat/"</t>
    </r>
  </si>
  <si>
    <r>
      <rPr>
        <sz val="11"/>
        <color rgb="FF569CD6"/>
        <rFont val="Consolas"/>
        <family val="3"/>
        <charset val="1"/>
      </rPr>
      <t xml:space="preserve">super-contest-effect</t>
    </r>
    <r>
      <rPr>
        <sz val="11"/>
        <color rgb="FFCCCCCC"/>
        <rFont val="Consolas"/>
        <family val="3"/>
        <charset val="1"/>
      </rPr>
      <t xml:space="preserve"> : </t>
    </r>
    <r>
      <rPr>
        <sz val="11"/>
        <color rgb="FFCE9178"/>
        <rFont val="Consolas"/>
        <family val="3"/>
        <charset val="1"/>
      </rPr>
      <t xml:space="preserve">"https : //pokeapi.co/api/v2/super-contest-effect/"</t>
    </r>
  </si>
  <si>
    <r>
      <rPr>
        <sz val="11"/>
        <color rgb="FF569CD6"/>
        <rFont val="Consolas"/>
        <family val="3"/>
        <charset val="1"/>
      </rPr>
      <t xml:space="preserve">type</t>
    </r>
    <r>
      <rPr>
        <sz val="11"/>
        <color rgb="FFCCCCCC"/>
        <rFont val="Consolas"/>
        <family val="3"/>
        <charset val="1"/>
      </rPr>
      <t xml:space="preserve"> : </t>
    </r>
    <r>
      <rPr>
        <sz val="11"/>
        <color rgb="FFCE9178"/>
        <rFont val="Consolas"/>
        <family val="3"/>
        <charset val="1"/>
      </rPr>
      <t xml:space="preserve">"https : //pokeapi.co/api/v2/type/"</t>
    </r>
  </si>
  <si>
    <r>
      <rPr>
        <sz val="11"/>
        <color rgb="FF569CD6"/>
        <rFont val="Consolas"/>
        <family val="3"/>
        <charset val="1"/>
      </rPr>
      <t xml:space="preserve">version</t>
    </r>
    <r>
      <rPr>
        <sz val="11"/>
        <color rgb="FFCCCCCC"/>
        <rFont val="Consolas"/>
        <family val="3"/>
        <charset val="1"/>
      </rPr>
      <t xml:space="preserve"> : </t>
    </r>
    <r>
      <rPr>
        <sz val="11"/>
        <color rgb="FFCE9178"/>
        <rFont val="Consolas"/>
        <family val="3"/>
        <charset val="1"/>
      </rPr>
      <t xml:space="preserve">"https : //pokeapi.co/api/v2/version/"</t>
    </r>
  </si>
  <si>
    <r>
      <rPr>
        <sz val="11"/>
        <color rgb="FF569CD6"/>
        <rFont val="Consolas"/>
        <family val="3"/>
        <charset val="1"/>
      </rPr>
      <t xml:space="preserve">version-group</t>
    </r>
    <r>
      <rPr>
        <sz val="11"/>
        <color rgb="FFCCCCCC"/>
        <rFont val="Consolas"/>
        <family val="3"/>
        <charset val="1"/>
      </rPr>
      <t xml:space="preserve"> : </t>
    </r>
    <r>
      <rPr>
        <sz val="11"/>
        <color rgb="FFCE9178"/>
        <rFont val="Consolas"/>
        <family val="3"/>
        <charset val="1"/>
      </rPr>
      <t xml:space="preserve">"https : //pokeapi.co/api/v2/version-group/"</t>
    </r>
  </si>
  <si>
    <t xml:space="preserve">nombre</t>
  </si>
  <si>
    <t xml:space="preserve">url</t>
  </si>
  <si>
    <t xml:space="preserve">variable</t>
  </si>
  <si>
    <t xml:space="preserve">values</t>
  </si>
  <si>
    <t xml:space="preserve">div</t>
  </si>
  <si>
    <t xml:space="preserve">orden usado</t>
  </si>
  <si>
    <t xml:space="preserve"> &amp; C2 &amp; </t>
  </si>
  <si>
    <t xml:space="preserve">se pueden contabilizar</t>
  </si>
  <si>
    <t xml:space="preserve">pokemon </t>
  </si>
  <si>
    <t xml:space="preserve">"https : //pokeapi.co/api/v2/pokemon/"</t>
  </si>
  <si>
    <t xml:space="preserve"> /* stat:"https://pokeapi.co/api/v2/stat/" */    stat: null,    /* generation:"https://pokeapi.co/api/v2/generation/" */    generation: null,    /* type: "https://pokeapi.co/api/v2/type/" */    type: null,    /* ability:"https://pokeapi.co/api/v2/ability/" */    ability: null,    /* move:"https://pokeapi.co/api/v2/move/" */    move: null,    /* egg-group: "https://pokeapi.co/api/v2/egg-group/" */    egg_group: null,    /* pokemon-color: "https://pokeapi.co/api/v2/pokemon-color/" */    pokemon_color: null,    /* pokemon-habitat: "https://pokeapi.co/api/v2/pokemon-habitat/" */    pokemon_habitat: null,    /* pokemon-shape: "https://pokeapi.co/api/v2/pokemon-shape/" */    pokemon_shape: null,    /* pokedex: "https://pokeapi.co/api/v2/pokedex/" */    pokedex: null,    /* gender: "https://pokeapi.co/api/v2/gender/" */    gender: null,    /* evolution-trigger: "https://pokeapi.co/api/v2/evolution-trigger/" */    evolution_trigger: null,    /*growth-rate:"https://pokeapi.co/api/v2/growth-rate/"    pensarlo bien contabiliza los pokemon */    growth_rate: null,    /*pal-park-area:"https://pokeapi.co/api/v2/pal-park-area/"*/    pal_park_area: null,    // ====================================================    // MENU VERTICAL CON FILTROS SI HACE FALTA    // ====================================================    /* region:"https://pokeapi.co/api/v2/region/" */    region: null, </t>
  </si>
  <si>
    <t xml:space="preserve">ability </t>
  </si>
  <si>
    <t xml:space="preserve">"https : //pokeapi.co/api/v2/ability/"</t>
  </si>
  <si>
    <t xml:space="preserve">pokemon-species </t>
  </si>
  <si>
    <t xml:space="preserve">"https : //pokeapi.co/api/v2/pokemon-species/"</t>
  </si>
  <si>
    <t xml:space="preserve">pe-</t>
  </si>
  <si>
    <t xml:space="preserve">version-group </t>
  </si>
  <si>
    <t xml:space="preserve">"https : //pokeapi.co/api/v2/version-group/"</t>
  </si>
  <si>
    <t xml:space="preserve">vg-</t>
  </si>
  <si>
    <t xml:space="preserve">version </t>
  </si>
  <si>
    <t xml:space="preserve">"https : //pokeapi.co/api/v2/version/"</t>
  </si>
  <si>
    <t xml:space="preserve">type </t>
  </si>
  <si>
    <t xml:space="preserve">"https : //pokeapi.co/api/v2/type/"</t>
  </si>
  <si>
    <t xml:space="preserve">super-contest-effect </t>
  </si>
  <si>
    <t xml:space="preserve">"https : //pokeapi.co/api/v2/super-contest-effect/"</t>
  </si>
  <si>
    <t xml:space="preserve">sce-</t>
  </si>
  <si>
    <t xml:space="preserve">stat </t>
  </si>
  <si>
    <t xml:space="preserve">"https : //pokeapi.co/api/v2/stat/"</t>
  </si>
  <si>
    <t xml:space="preserve">region </t>
  </si>
  <si>
    <t xml:space="preserve">"https : //pokeapi.co/api/v2/region/"</t>
  </si>
  <si>
    <t xml:space="preserve">pokedex </t>
  </si>
  <si>
    <t xml:space="preserve">"https : //pokeapi.co/api/v2/pokedex/"</t>
  </si>
  <si>
    <t xml:space="preserve">pokemon-shape </t>
  </si>
  <si>
    <t xml:space="preserve">"https : //pokeapi.co/api/v2/pokemon-shape/"</t>
  </si>
  <si>
    <t xml:space="preserve">ps-</t>
  </si>
  <si>
    <t xml:space="preserve">pal-park-area </t>
  </si>
  <si>
    <t xml:space="preserve">"https : //pokeapi.co/api/v2/pal-park-area/"</t>
  </si>
  <si>
    <t xml:space="preserve">ppa-</t>
  </si>
  <si>
    <t xml:space="preserve">pokemon-habitat </t>
  </si>
  <si>
    <t xml:space="preserve">"https : //pokeapi.co/api/v2/pokemon-habitat/"</t>
  </si>
  <si>
    <t xml:space="preserve">ph-</t>
  </si>
  <si>
    <t xml:space="preserve">pokemon-form </t>
  </si>
  <si>
    <t xml:space="preserve">"https : //pokeapi.co/api/v2/pokemon-form/"</t>
  </si>
  <si>
    <t xml:space="preserve">pf-</t>
  </si>
  <si>
    <t xml:space="preserve">pokemon-color </t>
  </si>
  <si>
    <t xml:space="preserve">"https : //pokeapi.co/api/v2/pokemon-color/"</t>
  </si>
  <si>
    <t xml:space="preserve">pc-</t>
  </si>
  <si>
    <t xml:space="preserve">pokeathlon-stat </t>
  </si>
  <si>
    <t xml:space="preserve">"https : //pokeapi.co/api/v2/pokeathlon-stat/"</t>
  </si>
  <si>
    <t xml:space="preserve">pas-</t>
  </si>
  <si>
    <t xml:space="preserve">nature </t>
  </si>
  <si>
    <t xml:space="preserve">"https : //pokeapi.co/api/v2/nature/"</t>
  </si>
  <si>
    <t xml:space="preserve">move-target </t>
  </si>
  <si>
    <t xml:space="preserve">"https : //pokeapi.co/api/v2/move-target/"</t>
  </si>
  <si>
    <t xml:space="preserve">mt-</t>
  </si>
  <si>
    <t xml:space="preserve">move-learn-method </t>
  </si>
  <si>
    <t xml:space="preserve">"https : //pokeapi.co/api/v2/move-learn-method/"</t>
  </si>
  <si>
    <t xml:space="preserve">mlm-</t>
  </si>
  <si>
    <t xml:space="preserve">move-damage-class </t>
  </si>
  <si>
    <t xml:space="preserve">"https : //pokeapi.co/api/v2/move-damage-class/"</t>
  </si>
  <si>
    <t xml:space="preserve">mdc-</t>
  </si>
  <si>
    <t xml:space="preserve">move-category </t>
  </si>
  <si>
    <t xml:space="preserve">"https : //pokeapi.co/api/v2/move-category/"</t>
  </si>
  <si>
    <t xml:space="preserve">mc-</t>
  </si>
  <si>
    <t xml:space="preserve">move-battle-style </t>
  </si>
  <si>
    <t xml:space="preserve">"https : //pokeapi.co/api/v2/move-battle-style/"</t>
  </si>
  <si>
    <t xml:space="preserve">mbl-</t>
  </si>
  <si>
    <t xml:space="preserve">move-ailment </t>
  </si>
  <si>
    <t xml:space="preserve">"https : //pokeapi.co/api/v2/move-ailment/"</t>
  </si>
  <si>
    <t xml:space="preserve">mal-</t>
  </si>
  <si>
    <t xml:space="preserve">machine </t>
  </si>
  <si>
    <t xml:space="preserve">"https : //pokeapi.co/api/v2/machine/"</t>
  </si>
  <si>
    <t xml:space="preserve">move </t>
  </si>
  <si>
    <t xml:space="preserve">"https : //pokeapi.co/api/v2/move/"</t>
  </si>
  <si>
    <t xml:space="preserve">location </t>
  </si>
  <si>
    <t xml:space="preserve">"https : //pokeapi.co/api/v2/location/"</t>
  </si>
  <si>
    <t xml:space="preserve">location-area </t>
  </si>
  <si>
    <t xml:space="preserve">"https : //pokeapi.co/api/v2/location-area/"</t>
  </si>
  <si>
    <t xml:space="preserve">la-</t>
  </si>
  <si>
    <t xml:space="preserve">language </t>
  </si>
  <si>
    <t xml:space="preserve">"https : //pokeapi.co/api/v2/language/"</t>
  </si>
  <si>
    <t xml:space="preserve">item-pocket </t>
  </si>
  <si>
    <t xml:space="preserve">"https : //pokeapi.co/api/v2/item-pocket/"</t>
  </si>
  <si>
    <t xml:space="preserve">ip-</t>
  </si>
  <si>
    <t xml:space="preserve">item-fling-effect </t>
  </si>
  <si>
    <t xml:space="preserve">"https : //pokeapi.co/api/v2/item-fling-effect/"</t>
  </si>
  <si>
    <t xml:space="preserve">ife-</t>
  </si>
  <si>
    <t xml:space="preserve">item-category </t>
  </si>
  <si>
    <t xml:space="preserve">"https : //pokeapi.co/api/v2/item-category/"</t>
  </si>
  <si>
    <t xml:space="preserve">ic-</t>
  </si>
  <si>
    <t xml:space="preserve">item-attribute </t>
  </si>
  <si>
    <t xml:space="preserve">"https : //pokeapi.co/api/v2/item-attribute/"</t>
  </si>
  <si>
    <t xml:space="preserve">ia-</t>
  </si>
  <si>
    <t xml:space="preserve">item </t>
  </si>
  <si>
    <t xml:space="preserve">"https : //pokeapi.co/api/v2/item/"</t>
  </si>
  <si>
    <t xml:space="preserve">growth-rate </t>
  </si>
  <si>
    <t xml:space="preserve">"https : //pokeapi.co/api/v2/growth-rate/"</t>
  </si>
  <si>
    <t xml:space="preserve">gr-</t>
  </si>
  <si>
    <t xml:space="preserve">generation </t>
  </si>
  <si>
    <t xml:space="preserve">"https : //pokeapi.co/api/v2/generation/"</t>
  </si>
  <si>
    <t xml:space="preserve">gender </t>
  </si>
  <si>
    <t xml:space="preserve">"https : //pokeapi.co/api/v2/gender/"</t>
  </si>
  <si>
    <t xml:space="preserve">evolution-trigger </t>
  </si>
  <si>
    <t xml:space="preserve">"https : //pokeapi.co/api/v2/evolution-trigger/"</t>
  </si>
  <si>
    <t xml:space="preserve">et-</t>
  </si>
  <si>
    <t xml:space="preserve">encounter-method </t>
  </si>
  <si>
    <t xml:space="preserve">"https : //pokeapi.co/api/v2/encounter-method/"</t>
  </si>
  <si>
    <t xml:space="preserve">em-</t>
  </si>
  <si>
    <t xml:space="preserve">egg-group </t>
  </si>
  <si>
    <t xml:space="preserve">"https : //pokeapi.co/api/v2/egg-group/"</t>
  </si>
  <si>
    <t xml:space="preserve">eg-</t>
  </si>
  <si>
    <t xml:space="preserve">encounter-condition-value </t>
  </si>
  <si>
    <t xml:space="preserve">"https : //pokeapi.co/api/v2/encounter-condition-value/"</t>
  </si>
  <si>
    <t xml:space="preserve">ecv-</t>
  </si>
  <si>
    <t xml:space="preserve">encounter-condition </t>
  </si>
  <si>
    <t xml:space="preserve">"https : //pokeapi.co/api/v2/encounter-condition/"</t>
  </si>
  <si>
    <t xml:space="preserve">ec-</t>
  </si>
  <si>
    <t xml:space="preserve">evolution-chain </t>
  </si>
  <si>
    <t xml:space="preserve">"https : //pokeapi.co/api/v2/evolution-chain/"</t>
  </si>
  <si>
    <t xml:space="preserve">contest-type </t>
  </si>
  <si>
    <t xml:space="preserve">"https : //pokeapi.co/api/v2/contest-type/"</t>
  </si>
  <si>
    <t xml:space="preserve">ct-</t>
  </si>
  <si>
    <t xml:space="preserve">contest-effect </t>
  </si>
  <si>
    <t xml:space="preserve">"https : //pokeapi.co/api/v2/contest-effect/"</t>
  </si>
  <si>
    <t xml:space="preserve">ce-</t>
  </si>
  <si>
    <t xml:space="preserve">characteristic </t>
  </si>
  <si>
    <t xml:space="preserve">"https : //pokeapi.co/api/v2/characteristic/"</t>
  </si>
  <si>
    <t xml:space="preserve">berry-firmness </t>
  </si>
  <si>
    <t xml:space="preserve">"https : //pokeapi.co/api/v2/berry-firmness/"</t>
  </si>
  <si>
    <t xml:space="preserve">bfi-</t>
  </si>
  <si>
    <t xml:space="preserve">berry-flavor </t>
  </si>
  <si>
    <t xml:space="preserve">"https : //pokeapi.co/api/v2/berry-flavor/"</t>
  </si>
  <si>
    <t xml:space="preserve">bf-</t>
  </si>
  <si>
    <t xml:space="preserve">berry </t>
  </si>
  <si>
    <t xml:space="preserve">"https : //pokeapi.co/api/v2/berry/"</t>
  </si>
  <si>
    <t xml:space="preserve">--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</si>
</sst>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569CD6"/>
      <name val="Consolas"/>
      <family val="3"/>
      <charset val="1"/>
    </font>
    <font>
      <sz val="11"/>
      <color rgb="FFCCCCCC"/>
      <name val="Consolas"/>
      <family val="3"/>
      <charset val="1"/>
    </font>
    <font>
      <sz val="11"/>
      <color rgb="FFCE9178"/>
      <name val="Consolas"/>
      <family val="3"/>
      <charset val="1"/>
    </font>
    <font>
      <b val="true"/>
      <sz val="11"/>
      <color theme="1"/>
      <name val="Bodoni MT"/>
      <family val="1"/>
      <charset val="1"/>
    </font>
    <font>
      <u val="single"/>
      <sz val="11"/>
      <color theme="1"/>
      <name val="Consolas"/>
      <family val="3"/>
      <charset val="1"/>
    </font>
    <font>
      <u val="singl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569CD6"/>
      <rgbColor rgb="FF993366"/>
      <rgbColor rgb="FFFFFFCC"/>
      <rgbColor rgb="FFCCFFFF"/>
      <rgbColor rgb="FF660066"/>
      <rgbColor rgb="FFCE9178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9.1484375" defaultRowHeight="15" customHeight="true" zeroHeight="false" outlineLevelRow="0" outlineLevelCol="0"/>
  <cols>
    <col collapsed="false" customWidth="true" hidden="false" outlineLevel="0" max="1" min="1" style="1" width="99.42"/>
    <col collapsed="false" customWidth="true" hidden="false" outlineLevel="0" max="5" min="2" style="0" width="11.85"/>
  </cols>
  <sheetData>
    <row r="1" customFormat="false" ht="15" hidden="false" customHeight="false" outlineLevel="0" collapsed="false">
      <c r="A1" s="2" t="s">
        <v>0</v>
      </c>
      <c r="B1" s="0" t="str">
        <f aca="false">LEFT(A1,FIND(":",A1)-1)</f>
        <v>ability </v>
      </c>
      <c r="C1" s="0" t="str">
        <f aca="false">RIGHT(A1,LEN(A1)-FIND(":",A1)-1)</f>
        <v>"https : //pokeapi.co/api/v2/ability/"</v>
      </c>
    </row>
    <row r="2" customFormat="false" ht="15" hidden="false" customHeight="false" outlineLevel="0" collapsed="false">
      <c r="A2" s="2" t="s">
        <v>1</v>
      </c>
      <c r="B2" s="0" t="str">
        <f aca="false">LEFT(A2,FIND(":",A2)-1)</f>
        <v>berry </v>
      </c>
      <c r="C2" s="0" t="str">
        <f aca="false">RIGHT(A2,LEN(A2)-FIND(":",A2)-1)</f>
        <v>"https : //pokeapi.co/api/v2/berry/"</v>
      </c>
    </row>
    <row r="3" customFormat="false" ht="15" hidden="false" customHeight="false" outlineLevel="0" collapsed="false">
      <c r="A3" s="2" t="s">
        <v>2</v>
      </c>
      <c r="B3" s="0" t="str">
        <f aca="false">LEFT(A3,FIND(":",A3)-1)</f>
        <v>berry-firmness </v>
      </c>
      <c r="C3" s="0" t="str">
        <f aca="false">RIGHT(A3,LEN(A3)-FIND(":",A3)-1)</f>
        <v>"https : //pokeapi.co/api/v2/berry-firmness/"</v>
      </c>
    </row>
    <row r="4" customFormat="false" ht="15" hidden="false" customHeight="false" outlineLevel="0" collapsed="false">
      <c r="A4" s="2" t="s">
        <v>3</v>
      </c>
      <c r="B4" s="0" t="str">
        <f aca="false">LEFT(A4,FIND(":",A4)-1)</f>
        <v>berry-flavor </v>
      </c>
      <c r="C4" s="0" t="str">
        <f aca="false">RIGHT(A4,LEN(A4)-FIND(":",A4)-1)</f>
        <v>"https : //pokeapi.co/api/v2/berry-flavor/"</v>
      </c>
    </row>
    <row r="5" customFormat="false" ht="15" hidden="false" customHeight="false" outlineLevel="0" collapsed="false">
      <c r="A5" s="2" t="s">
        <v>4</v>
      </c>
      <c r="B5" s="0" t="str">
        <f aca="false">LEFT(A5,FIND(":",A5)-1)</f>
        <v>characteristic </v>
      </c>
      <c r="C5" s="0" t="str">
        <f aca="false">RIGHT(A5,LEN(A5)-FIND(":",A5)-1)</f>
        <v>"https : //pokeapi.co/api/v2/characteristic/"</v>
      </c>
    </row>
    <row r="6" customFormat="false" ht="15" hidden="false" customHeight="false" outlineLevel="0" collapsed="false">
      <c r="A6" s="2" t="s">
        <v>5</v>
      </c>
      <c r="B6" s="0" t="str">
        <f aca="false">LEFT(A6,FIND(":",A6)-1)</f>
        <v>contest-effect </v>
      </c>
      <c r="C6" s="0" t="str">
        <f aca="false">RIGHT(A6,LEN(A6)-FIND(":",A6)-1)</f>
        <v>"https : //pokeapi.co/api/v2/contest-effect/"</v>
      </c>
    </row>
    <row r="7" customFormat="false" ht="15" hidden="false" customHeight="false" outlineLevel="0" collapsed="false">
      <c r="A7" s="2" t="s">
        <v>6</v>
      </c>
      <c r="B7" s="0" t="str">
        <f aca="false">LEFT(A7,FIND(":",A7)-1)</f>
        <v>contest-type </v>
      </c>
      <c r="C7" s="0" t="str">
        <f aca="false">RIGHT(A7,LEN(A7)-FIND(":",A7)-1)</f>
        <v>"https : //pokeapi.co/api/v2/contest-type/"</v>
      </c>
    </row>
    <row r="8" customFormat="false" ht="15" hidden="false" customHeight="false" outlineLevel="0" collapsed="false">
      <c r="A8" s="2" t="s">
        <v>7</v>
      </c>
      <c r="B8" s="0" t="str">
        <f aca="false">LEFT(A8,FIND(":",A8)-1)</f>
        <v>egg-group </v>
      </c>
      <c r="C8" s="0" t="str">
        <f aca="false">RIGHT(A8,LEN(A8)-FIND(":",A8)-1)</f>
        <v>"https : //pokeapi.co/api/v2/egg-group/"</v>
      </c>
    </row>
    <row r="9" customFormat="false" ht="15" hidden="false" customHeight="false" outlineLevel="0" collapsed="false">
      <c r="A9" s="2" t="s">
        <v>8</v>
      </c>
      <c r="B9" s="0" t="str">
        <f aca="false">LEFT(A9,FIND(":",A9)-1)</f>
        <v>encounter-condition </v>
      </c>
      <c r="C9" s="0" t="str">
        <f aca="false">RIGHT(A9,LEN(A9)-FIND(":",A9)-1)</f>
        <v>"https : //pokeapi.co/api/v2/encounter-condition/"</v>
      </c>
    </row>
    <row r="10" customFormat="false" ht="15" hidden="false" customHeight="false" outlineLevel="0" collapsed="false">
      <c r="A10" s="2" t="s">
        <v>9</v>
      </c>
      <c r="B10" s="0" t="str">
        <f aca="false">LEFT(A10,FIND(":",A10)-1)</f>
        <v>encounter-condition-value </v>
      </c>
      <c r="C10" s="0" t="str">
        <f aca="false">RIGHT(A10,LEN(A10)-FIND(":",A10)-1)</f>
        <v>"https : //pokeapi.co/api/v2/encounter-condition-value/"</v>
      </c>
    </row>
    <row r="11" customFormat="false" ht="15" hidden="false" customHeight="false" outlineLevel="0" collapsed="false">
      <c r="A11" s="2" t="s">
        <v>10</v>
      </c>
      <c r="B11" s="0" t="str">
        <f aca="false">LEFT(A11,FIND(":",A11)-1)</f>
        <v>encounter-method </v>
      </c>
      <c r="C11" s="0" t="str">
        <f aca="false">RIGHT(A11,LEN(A11)-FIND(":",A11)-1)</f>
        <v>"https : //pokeapi.co/api/v2/encounter-method/"</v>
      </c>
    </row>
    <row r="12" customFormat="false" ht="15" hidden="false" customHeight="false" outlineLevel="0" collapsed="false">
      <c r="A12" s="2" t="s">
        <v>11</v>
      </c>
      <c r="B12" s="0" t="str">
        <f aca="false">LEFT(A12,FIND(":",A12)-1)</f>
        <v>evolution-chain </v>
      </c>
      <c r="C12" s="0" t="str">
        <f aca="false">RIGHT(A12,LEN(A12)-FIND(":",A12)-1)</f>
        <v>"https : //pokeapi.co/api/v2/evolution-chain/"</v>
      </c>
    </row>
    <row r="13" customFormat="false" ht="15" hidden="false" customHeight="false" outlineLevel="0" collapsed="false">
      <c r="A13" s="2" t="s">
        <v>12</v>
      </c>
      <c r="B13" s="0" t="str">
        <f aca="false">LEFT(A13,FIND(":",A13)-1)</f>
        <v>evolution-trigger </v>
      </c>
      <c r="C13" s="0" t="str">
        <f aca="false">RIGHT(A13,LEN(A13)-FIND(":",A13)-1)</f>
        <v>"https : //pokeapi.co/api/v2/evolution-trigger/"</v>
      </c>
    </row>
    <row r="14" customFormat="false" ht="15" hidden="false" customHeight="false" outlineLevel="0" collapsed="false">
      <c r="A14" s="2" t="s">
        <v>13</v>
      </c>
      <c r="B14" s="0" t="str">
        <f aca="false">LEFT(A14,FIND(":",A14)-1)</f>
        <v>gender </v>
      </c>
      <c r="C14" s="0" t="str">
        <f aca="false">RIGHT(A14,LEN(A14)-FIND(":",A14)-1)</f>
        <v>"https : //pokeapi.co/api/v2/gender/"</v>
      </c>
    </row>
    <row r="15" customFormat="false" ht="15" hidden="false" customHeight="false" outlineLevel="0" collapsed="false">
      <c r="A15" s="2" t="s">
        <v>14</v>
      </c>
      <c r="B15" s="0" t="str">
        <f aca="false">LEFT(A15,FIND(":",A15)-1)</f>
        <v>generation </v>
      </c>
      <c r="C15" s="0" t="str">
        <f aca="false">RIGHT(A15,LEN(A15)-FIND(":",A15)-1)</f>
        <v>"https : //pokeapi.co/api/v2/generation/"</v>
      </c>
    </row>
    <row r="16" customFormat="false" ht="15" hidden="false" customHeight="false" outlineLevel="0" collapsed="false">
      <c r="A16" s="2" t="s">
        <v>15</v>
      </c>
      <c r="B16" s="0" t="str">
        <f aca="false">LEFT(A16,FIND(":",A16)-1)</f>
        <v>growth-rate </v>
      </c>
      <c r="C16" s="0" t="str">
        <f aca="false">RIGHT(A16,LEN(A16)-FIND(":",A16)-1)</f>
        <v>"https : //pokeapi.co/api/v2/growth-rate/"</v>
      </c>
    </row>
    <row r="17" customFormat="false" ht="15" hidden="false" customHeight="false" outlineLevel="0" collapsed="false">
      <c r="A17" s="2" t="s">
        <v>16</v>
      </c>
      <c r="B17" s="0" t="str">
        <f aca="false">LEFT(A17,FIND(":",A17)-1)</f>
        <v>item </v>
      </c>
      <c r="C17" s="0" t="str">
        <f aca="false">RIGHT(A17,LEN(A17)-FIND(":",A17)-1)</f>
        <v>"https : //pokeapi.co/api/v2/item/"</v>
      </c>
    </row>
    <row r="18" customFormat="false" ht="15" hidden="false" customHeight="false" outlineLevel="0" collapsed="false">
      <c r="A18" s="2" t="s">
        <v>17</v>
      </c>
      <c r="B18" s="0" t="str">
        <f aca="false">LEFT(A18,FIND(":",A18)-1)</f>
        <v>item-attribute </v>
      </c>
      <c r="C18" s="0" t="str">
        <f aca="false">RIGHT(A18,LEN(A18)-FIND(":",A18)-1)</f>
        <v>"https : //pokeapi.co/api/v2/item-attribute/"</v>
      </c>
    </row>
    <row r="19" customFormat="false" ht="15" hidden="false" customHeight="false" outlineLevel="0" collapsed="false">
      <c r="A19" s="2" t="s">
        <v>18</v>
      </c>
      <c r="B19" s="0" t="str">
        <f aca="false">LEFT(A19,FIND(":",A19)-1)</f>
        <v>item-category </v>
      </c>
      <c r="C19" s="0" t="str">
        <f aca="false">RIGHT(A19,LEN(A19)-FIND(":",A19)-1)</f>
        <v>"https : //pokeapi.co/api/v2/item-category/"</v>
      </c>
    </row>
    <row r="20" customFormat="false" ht="15" hidden="false" customHeight="false" outlineLevel="0" collapsed="false">
      <c r="A20" s="2" t="s">
        <v>19</v>
      </c>
      <c r="B20" s="0" t="str">
        <f aca="false">LEFT(A20,FIND(":",A20)-1)</f>
        <v>item-fling-effect </v>
      </c>
      <c r="C20" s="0" t="str">
        <f aca="false">RIGHT(A20,LEN(A20)-FIND(":",A20)-1)</f>
        <v>"https : //pokeapi.co/api/v2/item-fling-effect/"</v>
      </c>
    </row>
    <row r="21" customFormat="false" ht="15" hidden="false" customHeight="false" outlineLevel="0" collapsed="false">
      <c r="A21" s="2" t="s">
        <v>20</v>
      </c>
      <c r="B21" s="0" t="str">
        <f aca="false">LEFT(A21,FIND(":",A21)-1)</f>
        <v>item-pocket </v>
      </c>
      <c r="C21" s="0" t="str">
        <f aca="false">RIGHT(A21,LEN(A21)-FIND(":",A21)-1)</f>
        <v>"https : //pokeapi.co/api/v2/item-pocket/"</v>
      </c>
    </row>
    <row r="22" customFormat="false" ht="15" hidden="false" customHeight="false" outlineLevel="0" collapsed="false">
      <c r="A22" s="2" t="s">
        <v>21</v>
      </c>
      <c r="B22" s="0" t="str">
        <f aca="false">LEFT(A22,FIND(":",A22)-1)</f>
        <v>language </v>
      </c>
      <c r="C22" s="0" t="str">
        <f aca="false">RIGHT(A22,LEN(A22)-FIND(":",A22)-1)</f>
        <v>"https : //pokeapi.co/api/v2/language/"</v>
      </c>
    </row>
    <row r="23" customFormat="false" ht="15" hidden="false" customHeight="false" outlineLevel="0" collapsed="false">
      <c r="A23" s="2" t="s">
        <v>22</v>
      </c>
      <c r="B23" s="0" t="str">
        <f aca="false">LEFT(A23,FIND(":",A23)-1)</f>
        <v>location </v>
      </c>
      <c r="C23" s="0" t="str">
        <f aca="false">RIGHT(A23,LEN(A23)-FIND(":",A23)-1)</f>
        <v>"https : //pokeapi.co/api/v2/location/"</v>
      </c>
    </row>
    <row r="24" customFormat="false" ht="15" hidden="false" customHeight="false" outlineLevel="0" collapsed="false">
      <c r="A24" s="2" t="s">
        <v>23</v>
      </c>
      <c r="B24" s="0" t="str">
        <f aca="false">LEFT(A24,FIND(":",A24)-1)</f>
        <v>location-area </v>
      </c>
      <c r="C24" s="0" t="str">
        <f aca="false">RIGHT(A24,LEN(A24)-FIND(":",A24)-1)</f>
        <v>"https : //pokeapi.co/api/v2/location-area/"</v>
      </c>
    </row>
    <row r="25" customFormat="false" ht="15" hidden="false" customHeight="false" outlineLevel="0" collapsed="false">
      <c r="A25" s="2" t="s">
        <v>24</v>
      </c>
      <c r="B25" s="0" t="str">
        <f aca="false">LEFT(A25,FIND(":",A25)-1)</f>
        <v>machine </v>
      </c>
      <c r="C25" s="0" t="str">
        <f aca="false">RIGHT(A25,LEN(A25)-FIND(":",A25)-1)</f>
        <v>"https : //pokeapi.co/api/v2/machine/"</v>
      </c>
    </row>
    <row r="26" customFormat="false" ht="15" hidden="false" customHeight="false" outlineLevel="0" collapsed="false">
      <c r="A26" s="2" t="s">
        <v>25</v>
      </c>
      <c r="B26" s="0" t="str">
        <f aca="false">LEFT(A26,FIND(":",A26)-1)</f>
        <v>move </v>
      </c>
      <c r="C26" s="0" t="str">
        <f aca="false">RIGHT(A26,LEN(A26)-FIND(":",A26)-1)</f>
        <v>"https : //pokeapi.co/api/v2/move/"</v>
      </c>
    </row>
    <row r="27" customFormat="false" ht="15" hidden="false" customHeight="false" outlineLevel="0" collapsed="false">
      <c r="A27" s="2" t="s">
        <v>26</v>
      </c>
      <c r="B27" s="0" t="str">
        <f aca="false">LEFT(A27,FIND(":",A27)-1)</f>
        <v>move-ailment </v>
      </c>
      <c r="C27" s="0" t="str">
        <f aca="false">RIGHT(A27,LEN(A27)-FIND(":",A27)-1)</f>
        <v>"https : //pokeapi.co/api/v2/move-ailment/"</v>
      </c>
    </row>
    <row r="28" customFormat="false" ht="15" hidden="false" customHeight="false" outlineLevel="0" collapsed="false">
      <c r="A28" s="2" t="s">
        <v>27</v>
      </c>
      <c r="B28" s="0" t="str">
        <f aca="false">LEFT(A28,FIND(":",A28)-1)</f>
        <v>move-battle-style </v>
      </c>
      <c r="C28" s="0" t="str">
        <f aca="false">RIGHT(A28,LEN(A28)-FIND(":",A28)-1)</f>
        <v>"https : //pokeapi.co/api/v2/move-battle-style/"</v>
      </c>
    </row>
    <row r="29" customFormat="false" ht="15" hidden="false" customHeight="false" outlineLevel="0" collapsed="false">
      <c r="A29" s="2" t="s">
        <v>28</v>
      </c>
      <c r="B29" s="0" t="str">
        <f aca="false">LEFT(A29,FIND(":",A29)-1)</f>
        <v>move-category </v>
      </c>
      <c r="C29" s="0" t="str">
        <f aca="false">RIGHT(A29,LEN(A29)-FIND(":",A29)-1)</f>
        <v>"https : //pokeapi.co/api/v2/move-category/"</v>
      </c>
    </row>
    <row r="30" customFormat="false" ht="15" hidden="false" customHeight="false" outlineLevel="0" collapsed="false">
      <c r="A30" s="2" t="s">
        <v>29</v>
      </c>
      <c r="B30" s="0" t="str">
        <f aca="false">LEFT(A30,FIND(":",A30)-1)</f>
        <v>move-damage-class </v>
      </c>
      <c r="C30" s="0" t="str">
        <f aca="false">RIGHT(A30,LEN(A30)-FIND(":",A30)-1)</f>
        <v>"https : //pokeapi.co/api/v2/move-damage-class/"</v>
      </c>
    </row>
    <row r="31" customFormat="false" ht="15" hidden="false" customHeight="false" outlineLevel="0" collapsed="false">
      <c r="A31" s="2" t="s">
        <v>30</v>
      </c>
      <c r="B31" s="0" t="str">
        <f aca="false">LEFT(A31,FIND(":",A31)-1)</f>
        <v>move-learn-method </v>
      </c>
      <c r="C31" s="0" t="str">
        <f aca="false">RIGHT(A31,LEN(A31)-FIND(":",A31)-1)</f>
        <v>"https : //pokeapi.co/api/v2/move-learn-method/"</v>
      </c>
    </row>
    <row r="32" customFormat="false" ht="15" hidden="false" customHeight="false" outlineLevel="0" collapsed="false">
      <c r="A32" s="2" t="s">
        <v>31</v>
      </c>
      <c r="B32" s="0" t="str">
        <f aca="false">LEFT(A32,FIND(":",A32)-1)</f>
        <v>move-target </v>
      </c>
      <c r="C32" s="0" t="str">
        <f aca="false">RIGHT(A32,LEN(A32)-FIND(":",A32)-1)</f>
        <v>"https : //pokeapi.co/api/v2/move-target/"</v>
      </c>
    </row>
    <row r="33" customFormat="false" ht="15" hidden="false" customHeight="false" outlineLevel="0" collapsed="false">
      <c r="A33" s="2" t="s">
        <v>32</v>
      </c>
      <c r="B33" s="0" t="str">
        <f aca="false">LEFT(A33,FIND(":",A33)-1)</f>
        <v>nature </v>
      </c>
      <c r="C33" s="0" t="str">
        <f aca="false">RIGHT(A33,LEN(A33)-FIND(":",A33)-1)</f>
        <v>"https : //pokeapi.co/api/v2/nature/"</v>
      </c>
    </row>
    <row r="34" customFormat="false" ht="15" hidden="false" customHeight="false" outlineLevel="0" collapsed="false">
      <c r="A34" s="2" t="s">
        <v>33</v>
      </c>
      <c r="B34" s="0" t="str">
        <f aca="false">LEFT(A34,FIND(":",A34)-1)</f>
        <v>pal-park-area </v>
      </c>
      <c r="C34" s="0" t="str">
        <f aca="false">RIGHT(A34,LEN(A34)-FIND(":",A34)-1)</f>
        <v>"https : //pokeapi.co/api/v2/pal-park-area/"</v>
      </c>
    </row>
    <row r="35" customFormat="false" ht="15" hidden="false" customHeight="false" outlineLevel="0" collapsed="false">
      <c r="A35" s="2" t="s">
        <v>34</v>
      </c>
      <c r="B35" s="0" t="str">
        <f aca="false">LEFT(A35,FIND(":",A35)-1)</f>
        <v>pokeathlon-stat </v>
      </c>
      <c r="C35" s="0" t="str">
        <f aca="false">RIGHT(A35,LEN(A35)-FIND(":",A35)-1)</f>
        <v>"https : //pokeapi.co/api/v2/pokeathlon-stat/"</v>
      </c>
    </row>
    <row r="36" customFormat="false" ht="15" hidden="false" customHeight="false" outlineLevel="0" collapsed="false">
      <c r="A36" s="2" t="s">
        <v>35</v>
      </c>
      <c r="B36" s="0" t="str">
        <f aca="false">LEFT(A36,FIND(":",A36)-1)</f>
        <v>pokedex </v>
      </c>
      <c r="C36" s="0" t="str">
        <f aca="false">RIGHT(A36,LEN(A36)-FIND(":",A36)-1)</f>
        <v>"https : //pokeapi.co/api/v2/pokedex/"</v>
      </c>
    </row>
    <row r="37" customFormat="false" ht="15" hidden="false" customHeight="false" outlineLevel="0" collapsed="false">
      <c r="A37" s="2" t="s">
        <v>36</v>
      </c>
      <c r="B37" s="0" t="str">
        <f aca="false">LEFT(A37,FIND(":",A37)-1)</f>
        <v>pokemon </v>
      </c>
      <c r="C37" s="0" t="str">
        <f aca="false">RIGHT(A37,LEN(A37)-FIND(":",A37)-1)</f>
        <v>"https : //pokeapi.co/api/v2/pokemon/"</v>
      </c>
    </row>
    <row r="38" customFormat="false" ht="15" hidden="false" customHeight="false" outlineLevel="0" collapsed="false">
      <c r="A38" s="2" t="s">
        <v>37</v>
      </c>
      <c r="B38" s="0" t="str">
        <f aca="false">LEFT(A38,FIND(":",A38)-1)</f>
        <v>pokemon-color </v>
      </c>
      <c r="C38" s="0" t="str">
        <f aca="false">RIGHT(A38,LEN(A38)-FIND(":",A38)-1)</f>
        <v>"https : //pokeapi.co/api/v2/pokemon-color/"</v>
      </c>
    </row>
    <row r="39" customFormat="false" ht="15" hidden="false" customHeight="false" outlineLevel="0" collapsed="false">
      <c r="A39" s="2" t="s">
        <v>38</v>
      </c>
      <c r="B39" s="0" t="str">
        <f aca="false">LEFT(A39,FIND(":",A39)-1)</f>
        <v>pokemon-form </v>
      </c>
      <c r="C39" s="0" t="str">
        <f aca="false">RIGHT(A39,LEN(A39)-FIND(":",A39)-1)</f>
        <v>"https : //pokeapi.co/api/v2/pokemon-form/"</v>
      </c>
    </row>
    <row r="40" customFormat="false" ht="15" hidden="false" customHeight="false" outlineLevel="0" collapsed="false">
      <c r="A40" s="2" t="s">
        <v>39</v>
      </c>
      <c r="B40" s="0" t="str">
        <f aca="false">LEFT(A40,FIND(":",A40)-1)</f>
        <v>pokemon-habitat </v>
      </c>
      <c r="C40" s="0" t="str">
        <f aca="false">RIGHT(A40,LEN(A40)-FIND(":",A40)-1)</f>
        <v>"https : //pokeapi.co/api/v2/pokemon-habitat/"</v>
      </c>
    </row>
    <row r="41" customFormat="false" ht="15" hidden="false" customHeight="false" outlineLevel="0" collapsed="false">
      <c r="A41" s="2" t="s">
        <v>40</v>
      </c>
      <c r="B41" s="0" t="str">
        <f aca="false">LEFT(A41,FIND(":",A41)-1)</f>
        <v>pokemon-shape </v>
      </c>
      <c r="C41" s="0" t="str">
        <f aca="false">RIGHT(A41,LEN(A41)-FIND(":",A41)-1)</f>
        <v>"https : //pokeapi.co/api/v2/pokemon-shape/"</v>
      </c>
    </row>
    <row r="42" customFormat="false" ht="15" hidden="false" customHeight="false" outlineLevel="0" collapsed="false">
      <c r="A42" s="2" t="s">
        <v>41</v>
      </c>
      <c r="B42" s="0" t="str">
        <f aca="false">LEFT(A42,FIND(":",A42)-1)</f>
        <v>pokemon-species </v>
      </c>
      <c r="C42" s="0" t="str">
        <f aca="false">RIGHT(A42,LEN(A42)-FIND(":",A42)-1)</f>
        <v>"https : //pokeapi.co/api/v2/pokemon-species/"</v>
      </c>
    </row>
    <row r="43" customFormat="false" ht="15" hidden="false" customHeight="false" outlineLevel="0" collapsed="false">
      <c r="A43" s="2" t="s">
        <v>42</v>
      </c>
      <c r="B43" s="0" t="str">
        <f aca="false">LEFT(A43,FIND(":",A43)-1)</f>
        <v>region </v>
      </c>
      <c r="C43" s="0" t="str">
        <f aca="false">RIGHT(A43,LEN(A43)-FIND(":",A43)-1)</f>
        <v>"https : //pokeapi.co/api/v2/region/"</v>
      </c>
    </row>
    <row r="44" customFormat="false" ht="15" hidden="false" customHeight="false" outlineLevel="0" collapsed="false">
      <c r="A44" s="2" t="s">
        <v>43</v>
      </c>
      <c r="B44" s="0" t="str">
        <f aca="false">LEFT(A44,FIND(":",A44)-1)</f>
        <v>stat </v>
      </c>
      <c r="C44" s="0" t="str">
        <f aca="false">RIGHT(A44,LEN(A44)-FIND(":",A44)-1)</f>
        <v>"https : //pokeapi.co/api/v2/stat/"</v>
      </c>
    </row>
    <row r="45" customFormat="false" ht="15" hidden="false" customHeight="false" outlineLevel="0" collapsed="false">
      <c r="A45" s="2" t="s">
        <v>44</v>
      </c>
      <c r="B45" s="0" t="str">
        <f aca="false">LEFT(A45,FIND(":",A45)-1)</f>
        <v>super-contest-effect </v>
      </c>
      <c r="C45" s="0" t="str">
        <f aca="false">RIGHT(A45,LEN(A45)-FIND(":",A45)-1)</f>
        <v>"https : //pokeapi.co/api/v2/super-contest-effect/"</v>
      </c>
    </row>
    <row r="46" customFormat="false" ht="15" hidden="false" customHeight="false" outlineLevel="0" collapsed="false">
      <c r="A46" s="2" t="s">
        <v>45</v>
      </c>
      <c r="B46" s="0" t="str">
        <f aca="false">LEFT(A46,FIND(":",A46)-1)</f>
        <v>type </v>
      </c>
      <c r="C46" s="0" t="str">
        <f aca="false">RIGHT(A46,LEN(A46)-FIND(":",A46)-1)</f>
        <v>"https : //pokeapi.co/api/v2/type/"</v>
      </c>
    </row>
    <row r="47" customFormat="false" ht="15" hidden="false" customHeight="false" outlineLevel="0" collapsed="false">
      <c r="A47" s="2" t="s">
        <v>46</v>
      </c>
      <c r="B47" s="0" t="str">
        <f aca="false">LEFT(A47,FIND(":",A47)-1)</f>
        <v>version </v>
      </c>
      <c r="C47" s="0" t="str">
        <f aca="false">RIGHT(A47,LEN(A47)-FIND(":",A47)-1)</f>
        <v>"https : //pokeapi.co/api/v2/version/"</v>
      </c>
    </row>
    <row r="48" customFormat="false" ht="15" hidden="false" customHeight="false" outlineLevel="0" collapsed="false">
      <c r="A48" s="2" t="s">
        <v>47</v>
      </c>
      <c r="B48" s="0" t="str">
        <f aca="false">LEFT(A48,FIND(":",A48)-1)</f>
        <v>version-group </v>
      </c>
      <c r="C48" s="0" t="str">
        <f aca="false">RIGHT(A48,LEN(A48)-FIND(":",A48)-1)</f>
        <v>"https : //pokeapi.co/api/v2/version-group/"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I3" activeCellId="0" sqref="I3"/>
    </sheetView>
  </sheetViews>
  <sheetFormatPr defaultColWidth="9.1484375" defaultRowHeight="15" customHeight="true" zeroHeight="false" outlineLevelRow="0" outlineLevelCol="0"/>
  <cols>
    <col collapsed="false" customWidth="true" hidden="false" outlineLevel="0" max="1" min="1" style="0" width="24.71"/>
    <col collapsed="false" customWidth="true" hidden="false" outlineLevel="0" max="2" min="2" style="0" width="66.42"/>
    <col collapsed="false" customWidth="true" hidden="false" outlineLevel="0" max="3" min="3" style="0" width="26.15"/>
    <col collapsed="false" customWidth="true" hidden="false" outlineLevel="0" max="4" min="4" style="0" width="9"/>
    <col collapsed="false" customWidth="true" hidden="false" outlineLevel="0" max="5" min="5" style="0" width="16.71"/>
    <col collapsed="false" customWidth="true" hidden="false" outlineLevel="0" max="6" min="6" style="0" width="20.71"/>
    <col collapsed="false" customWidth="true" hidden="false" outlineLevel="0" max="9" min="7" style="0" width="11.85"/>
  </cols>
  <sheetData>
    <row r="1" customFormat="false" ht="15" hidden="false" customHeight="false" outlineLevel="0" collapsed="false">
      <c r="A1" s="3" t="s">
        <v>48</v>
      </c>
      <c r="B1" s="3" t="s">
        <v>49</v>
      </c>
      <c r="C1" s="3" t="s">
        <v>50</v>
      </c>
      <c r="D1" s="3" t="s">
        <v>51</v>
      </c>
      <c r="E1" s="3" t="s">
        <v>52</v>
      </c>
      <c r="F1" s="3" t="s">
        <v>53</v>
      </c>
      <c r="G1" s="3" t="str">
        <f aca="false">" &lt;div class='card'&gt;"&amp;C2&amp;"&lt;/div&gt;"</f>
        <v> &lt;div class='card'&gt;pokemon &lt;/div&gt;</v>
      </c>
      <c r="H1" s="3" t="s">
        <v>54</v>
      </c>
      <c r="I1" s="0" t="s">
        <v>55</v>
      </c>
    </row>
    <row r="2" customFormat="false" ht="15" hidden="false" customHeight="false" outlineLevel="0" collapsed="false">
      <c r="A2" s="4" t="s">
        <v>56</v>
      </c>
      <c r="B2" s="5" t="s">
        <v>57</v>
      </c>
      <c r="C2" s="0" t="str">
        <f aca="false">SUBSTITUTE(A2,"-","_")</f>
        <v>pokemon </v>
      </c>
      <c r="D2" s="0" t="str">
        <f aca="false">CONCATENATE(LEFT(A2,1),"-")</f>
        <v>p-</v>
      </c>
      <c r="E2" s="0" t="str">
        <f aca="false">"&lt;p&gt;&lt;strong&gt;ID:&lt;/strong&gt; &lt;span " &amp; D2 &amp; "id&gt;" &amp; C2 &amp; "&lt;/span&gt;&lt;/p&gt;"</f>
        <v>&lt;p&gt;&lt;strong&gt;ID:&lt;/strong&gt; &lt;span p-id&gt;pokemon &lt;/span&gt;&lt;/p&gt;</v>
      </c>
      <c r="F2" s="0" t="n">
        <v>1</v>
      </c>
      <c r="I2" s="6" t="str">
        <f aca="false">A2</f>
        <v>pokemon </v>
      </c>
      <c r="J2" s="7" t="s">
        <v>58</v>
      </c>
    </row>
    <row r="3" customFormat="false" ht="15" hidden="false" customHeight="false" outlineLevel="0" collapsed="false">
      <c r="A3" s="4" t="s">
        <v>59</v>
      </c>
      <c r="B3" s="5" t="s">
        <v>60</v>
      </c>
      <c r="C3" s="0" t="str">
        <f aca="false">SUBSTITUTE(A3,"-","_")</f>
        <v>ability </v>
      </c>
      <c r="D3" s="0" t="str">
        <f aca="false">CONCATENATE(LEFT(A3,1),"-")</f>
        <v>a-</v>
      </c>
      <c r="E3" s="0" t="str">
        <f aca="false">"&lt;p&gt;&lt;strong&gt;ID:&lt;/strong&gt; &lt;span " &amp; D3 &amp; "id&gt;" &amp; C3 &amp; "&lt;/span&gt;&lt;/p&gt;"</f>
        <v>&lt;p&gt;&lt;strong&gt;ID:&lt;/strong&gt; &lt;span a-id&gt;ability &lt;/span&gt;&lt;/p&gt;</v>
      </c>
      <c r="F3" s="0" t="n">
        <v>2</v>
      </c>
      <c r="I3" s="3" t="str">
        <f aca="false">A3</f>
        <v>ability </v>
      </c>
    </row>
    <row r="4" customFormat="false" ht="15" hidden="false" customHeight="false" outlineLevel="0" collapsed="false">
      <c r="A4" s="4" t="s">
        <v>61</v>
      </c>
      <c r="B4" s="5" t="s">
        <v>62</v>
      </c>
      <c r="C4" s="0" t="str">
        <f aca="false">SUBSTITUTE(A4,"-","_")</f>
        <v>pokemon_species </v>
      </c>
      <c r="D4" s="0" t="s">
        <v>63</v>
      </c>
      <c r="E4" s="0" t="str">
        <f aca="false">"&lt;p&gt;&lt;strong&gt;ID:&lt;/strong&gt; &lt;span " &amp; D4 &amp; "id&gt;" &amp; C4 &amp; "&lt;/span&gt;&lt;/p&gt;"</f>
        <v>&lt;p&gt;&lt;strong&gt;ID:&lt;/strong&gt; &lt;span pe-id&gt;pokemon_species &lt;/span&gt;&lt;/p&gt;</v>
      </c>
      <c r="F4" s="6" t="n">
        <v>3</v>
      </c>
      <c r="I4" s="6" t="str">
        <f aca="false">A4</f>
        <v>pokemon-species </v>
      </c>
    </row>
    <row r="5" customFormat="false" ht="15" hidden="false" customHeight="false" outlineLevel="0" collapsed="false">
      <c r="A5" s="4" t="s">
        <v>64</v>
      </c>
      <c r="B5" s="5" t="s">
        <v>65</v>
      </c>
      <c r="C5" s="0" t="str">
        <f aca="false">SUBSTITUTE(A5,"-","_")</f>
        <v>version_group </v>
      </c>
      <c r="D5" s="0" t="s">
        <v>66</v>
      </c>
      <c r="E5" s="0" t="str">
        <f aca="false">"&lt;p&gt;&lt;strong&gt;ID:&lt;/strong&gt; &lt;span " &amp; D5 &amp; "id&gt;" &amp; C5 &amp; "&lt;/span&gt;&lt;/p&gt;"</f>
        <v>&lt;p&gt;&lt;strong&gt;ID:&lt;/strong&gt; &lt;span vg-id&gt;version_group &lt;/span&gt;&lt;/p&gt;</v>
      </c>
      <c r="F5" s="6"/>
      <c r="H5" s="6"/>
      <c r="I5" s="6" t="str">
        <f aca="false">A5</f>
        <v>version-group </v>
      </c>
    </row>
    <row r="6" customFormat="false" ht="15" hidden="false" customHeight="false" outlineLevel="0" collapsed="false">
      <c r="A6" s="4" t="s">
        <v>67</v>
      </c>
      <c r="B6" s="5" t="s">
        <v>68</v>
      </c>
      <c r="C6" s="0" t="str">
        <f aca="false">SUBSTITUTE(A6,"-","_")</f>
        <v>version </v>
      </c>
      <c r="D6" s="0" t="str">
        <f aca="false">CONCATENATE(LEFT(A6,1),"-")</f>
        <v>v-</v>
      </c>
      <c r="E6" s="0" t="str">
        <f aca="false">"&lt;p&gt;&lt;strong&gt;ID:&lt;/strong&gt; &lt;span " &amp; D6 &amp; "id&gt;" &amp; C6 &amp; "&lt;/span&gt;&lt;/p&gt;"</f>
        <v>&lt;p&gt;&lt;strong&gt;ID:&lt;/strong&gt; &lt;span v-id&gt;version &lt;/span&gt;&lt;/p&gt;</v>
      </c>
      <c r="I6" s="6" t="str">
        <f aca="false">A6</f>
        <v>version </v>
      </c>
    </row>
    <row r="7" customFormat="false" ht="15" hidden="false" customHeight="false" outlineLevel="0" collapsed="false">
      <c r="A7" s="4" t="s">
        <v>69</v>
      </c>
      <c r="B7" s="5" t="s">
        <v>70</v>
      </c>
      <c r="C7" s="0" t="str">
        <f aca="false">SUBSTITUTE(A7,"-","_")</f>
        <v>type </v>
      </c>
      <c r="D7" s="0" t="str">
        <f aca="false">CONCATENATE(LEFT(A7,1),"-")</f>
        <v>t-</v>
      </c>
      <c r="E7" s="0" t="str">
        <f aca="false">"&lt;p&gt;&lt;strong&gt;ID:&lt;/strong&gt; &lt;span " &amp; D7 &amp; "id&gt;" &amp; C7 &amp; "&lt;/span&gt;&lt;/p&gt;"</f>
        <v>&lt;p&gt;&lt;strong&gt;ID:&lt;/strong&gt; &lt;span t-id&gt;type &lt;/span&gt;&lt;/p&gt;</v>
      </c>
      <c r="I7" s="6" t="str">
        <f aca="false">A7</f>
        <v>type </v>
      </c>
    </row>
    <row r="8" customFormat="false" ht="15" hidden="false" customHeight="false" outlineLevel="0" collapsed="false">
      <c r="A8" s="4" t="s">
        <v>71</v>
      </c>
      <c r="B8" s="5" t="s">
        <v>72</v>
      </c>
      <c r="C8" s="0" t="str">
        <f aca="false">SUBSTITUTE(A8,"-","_")</f>
        <v>super_contest_effect </v>
      </c>
      <c r="D8" s="0" t="s">
        <v>73</v>
      </c>
      <c r="E8" s="0" t="str">
        <f aca="false">"&lt;p&gt;&lt;strong&gt;ID:&lt;/strong&gt; &lt;span " &amp; D8 &amp; "id&gt;" &amp; C8 &amp; "&lt;/span&gt;&lt;/p&gt;"</f>
        <v>&lt;p&gt;&lt;strong&gt;ID:&lt;/strong&gt; &lt;span sce-id&gt;super_contest_effect &lt;/span&gt;&lt;/p&gt;</v>
      </c>
      <c r="I8" s="6" t="str">
        <f aca="false">A8</f>
        <v>super-contest-effect </v>
      </c>
    </row>
    <row r="9" customFormat="false" ht="15" hidden="false" customHeight="false" outlineLevel="0" collapsed="false">
      <c r="A9" s="4" t="s">
        <v>74</v>
      </c>
      <c r="B9" s="5" t="s">
        <v>75</v>
      </c>
      <c r="C9" s="0" t="str">
        <f aca="false">SUBSTITUTE(A9,"-","_")</f>
        <v>stat </v>
      </c>
      <c r="D9" s="0" t="str">
        <f aca="false">CONCATENATE(LEFT(A9,1),"-")</f>
        <v>s-</v>
      </c>
      <c r="E9" s="0" t="str">
        <f aca="false">"&lt;p&gt;&lt;strong&gt;ID:&lt;/strong&gt; &lt;span " &amp; D9 &amp; "id&gt;" &amp; C9 &amp; "&lt;/span&gt;&lt;/p&gt;"</f>
        <v>&lt;p&gt;&lt;strong&gt;ID:&lt;/strong&gt; &lt;span s-id&gt;stat &lt;/span&gt;&lt;/p&gt;</v>
      </c>
      <c r="I9" s="6" t="str">
        <f aca="false">A9</f>
        <v>stat </v>
      </c>
    </row>
    <row r="10" customFormat="false" ht="15" hidden="false" customHeight="false" outlineLevel="0" collapsed="false">
      <c r="A10" s="4" t="s">
        <v>76</v>
      </c>
      <c r="B10" s="5" t="s">
        <v>77</v>
      </c>
      <c r="C10" s="0" t="str">
        <f aca="false">SUBSTITUTE(A10,"-","_")</f>
        <v>region </v>
      </c>
      <c r="D10" s="0" t="str">
        <f aca="false">CONCATENATE(LEFT(A10,1),"-")</f>
        <v>r-</v>
      </c>
      <c r="E10" s="0" t="str">
        <f aca="false">"&lt;p&gt;&lt;strong&gt;ID:&lt;/strong&gt; &lt;span " &amp; D10 &amp; "id&gt;" &amp; C10 &amp; "&lt;/span&gt;&lt;/p&gt;"</f>
        <v>&lt;p&gt;&lt;strong&gt;ID:&lt;/strong&gt; &lt;span r-id&gt;region &lt;/span&gt;&lt;/p&gt;</v>
      </c>
      <c r="I10" s="6" t="str">
        <f aca="false">A10</f>
        <v>region </v>
      </c>
    </row>
    <row r="11" customFormat="false" ht="15" hidden="false" customHeight="false" outlineLevel="0" collapsed="false">
      <c r="A11" s="4" t="s">
        <v>78</v>
      </c>
      <c r="B11" s="5" t="s">
        <v>79</v>
      </c>
      <c r="C11" s="0" t="str">
        <f aca="false">SUBSTITUTE(A11,"-","_")</f>
        <v>pokedex </v>
      </c>
      <c r="D11" s="0" t="str">
        <f aca="false">CONCATENATE(LEFT(A11,1),"x-")</f>
        <v>px-</v>
      </c>
      <c r="E11" s="0" t="str">
        <f aca="false">"&lt;p&gt;&lt;strong&gt;ID:&lt;/strong&gt; &lt;span " &amp; D11 &amp; "id&gt;" &amp; C11 &amp; "&lt;/span&gt;&lt;/p&gt;"</f>
        <v>&lt;p&gt;&lt;strong&gt;ID:&lt;/strong&gt; &lt;span px-id&gt;pokedex &lt;/span&gt;&lt;/p&gt;</v>
      </c>
      <c r="I11" s="6" t="str">
        <f aca="false">A11</f>
        <v>pokedex </v>
      </c>
    </row>
    <row r="12" customFormat="false" ht="15" hidden="false" customHeight="false" outlineLevel="0" collapsed="false">
      <c r="A12" s="4" t="s">
        <v>80</v>
      </c>
      <c r="B12" s="5" t="s">
        <v>81</v>
      </c>
      <c r="C12" s="0" t="str">
        <f aca="false">SUBSTITUTE(A12,"-","_")</f>
        <v>pokemon_shape </v>
      </c>
      <c r="D12" s="0" t="s">
        <v>82</v>
      </c>
      <c r="E12" s="0" t="str">
        <f aca="false">"&lt;p&gt;&lt;strong&gt;ID:&lt;/strong&gt; &lt;span " &amp; D12 &amp; "id&gt;" &amp; C12 &amp; "&lt;/span&gt;&lt;/p&gt;"</f>
        <v>&lt;p&gt;&lt;strong&gt;ID:&lt;/strong&gt; &lt;span ps-id&gt;pokemon_shape &lt;/span&gt;&lt;/p&gt;</v>
      </c>
      <c r="I12" s="6" t="str">
        <f aca="false">A12</f>
        <v>pokemon-shape </v>
      </c>
    </row>
    <row r="13" customFormat="false" ht="15" hidden="false" customHeight="false" outlineLevel="0" collapsed="false">
      <c r="A13" s="4" t="s">
        <v>83</v>
      </c>
      <c r="B13" s="5" t="s">
        <v>84</v>
      </c>
      <c r="C13" s="0" t="str">
        <f aca="false">SUBSTITUTE(A13,"-","_")</f>
        <v>pal_park_area </v>
      </c>
      <c r="D13" s="0" t="s">
        <v>85</v>
      </c>
      <c r="E13" s="0" t="str">
        <f aca="false">"&lt;p&gt;&lt;strong&gt;ID:&lt;/strong&gt; &lt;span " &amp; D13 &amp; "id&gt;" &amp; C13 &amp; "&lt;/span&gt;&lt;/p&gt;"</f>
        <v>&lt;p&gt;&lt;strong&gt;ID:&lt;/strong&gt; &lt;span ppa-id&gt;pal_park_area &lt;/span&gt;&lt;/p&gt;</v>
      </c>
      <c r="I13" s="6" t="str">
        <f aca="false">A13</f>
        <v>pal-park-area </v>
      </c>
    </row>
    <row r="14" customFormat="false" ht="15" hidden="false" customHeight="false" outlineLevel="0" collapsed="false">
      <c r="A14" s="4" t="s">
        <v>86</v>
      </c>
      <c r="B14" s="5" t="s">
        <v>87</v>
      </c>
      <c r="C14" s="0" t="str">
        <f aca="false">SUBSTITUTE(A14,"-","_")</f>
        <v>pokemon_habitat </v>
      </c>
      <c r="D14" s="0" t="s">
        <v>88</v>
      </c>
      <c r="E14" s="0" t="str">
        <f aca="false">"&lt;p&gt;&lt;strong&gt;ID:&lt;/strong&gt; &lt;span " &amp; D14 &amp; "id&gt;" &amp; C14 &amp; "&lt;/span&gt;&lt;/p&gt;"</f>
        <v>&lt;p&gt;&lt;strong&gt;ID:&lt;/strong&gt; &lt;span ph-id&gt;pokemon_habitat &lt;/span&gt;&lt;/p&gt;</v>
      </c>
      <c r="I14" s="6" t="str">
        <f aca="false">A14</f>
        <v>pokemon-habitat </v>
      </c>
    </row>
    <row r="15" customFormat="false" ht="15" hidden="false" customHeight="false" outlineLevel="0" collapsed="false">
      <c r="A15" s="4" t="s">
        <v>89</v>
      </c>
      <c r="B15" s="5" t="s">
        <v>90</v>
      </c>
      <c r="C15" s="0" t="str">
        <f aca="false">SUBSTITUTE(A15,"-","_")</f>
        <v>pokemon_form </v>
      </c>
      <c r="D15" s="0" t="s">
        <v>91</v>
      </c>
      <c r="E15" s="0" t="str">
        <f aca="false">"&lt;p&gt;&lt;strong&gt;ID:&lt;/strong&gt; &lt;span " &amp; D15 &amp; "id&gt;" &amp; C15 &amp; "&lt;/span&gt;&lt;/p&gt;"</f>
        <v>&lt;p&gt;&lt;strong&gt;ID:&lt;/strong&gt; &lt;span pf-id&gt;pokemon_form &lt;/span&gt;&lt;/p&gt;</v>
      </c>
      <c r="I15" s="6" t="str">
        <f aca="false">A15</f>
        <v>pokemon-form </v>
      </c>
    </row>
    <row r="16" customFormat="false" ht="15" hidden="false" customHeight="false" outlineLevel="0" collapsed="false">
      <c r="A16" s="4" t="s">
        <v>92</v>
      </c>
      <c r="B16" s="5" t="s">
        <v>93</v>
      </c>
      <c r="C16" s="0" t="str">
        <f aca="false">SUBSTITUTE(A16,"-","_")</f>
        <v>pokemon_color </v>
      </c>
      <c r="D16" s="0" t="s">
        <v>94</v>
      </c>
      <c r="E16" s="0" t="str">
        <f aca="false">"&lt;p&gt;&lt;strong&gt;ID:&lt;/strong&gt; &lt;span " &amp; D16 &amp; "id&gt;" &amp; C16 &amp; "&lt;/span&gt;&lt;/p&gt;"</f>
        <v>&lt;p&gt;&lt;strong&gt;ID:&lt;/strong&gt; &lt;span pc-id&gt;pokemon_color &lt;/span&gt;&lt;/p&gt;</v>
      </c>
      <c r="F16" s="3"/>
      <c r="I16" s="6" t="str">
        <f aca="false">A16</f>
        <v>pokemon-color </v>
      </c>
    </row>
    <row r="17" customFormat="false" ht="15" hidden="false" customHeight="false" outlineLevel="0" collapsed="false">
      <c r="A17" s="4" t="s">
        <v>95</v>
      </c>
      <c r="B17" s="5" t="s">
        <v>96</v>
      </c>
      <c r="C17" s="0" t="str">
        <f aca="false">SUBSTITUTE(A17,"-","_")</f>
        <v>pokeathlon_stat </v>
      </c>
      <c r="D17" s="0" t="s">
        <v>97</v>
      </c>
      <c r="E17" s="0" t="str">
        <f aca="false">"&lt;p&gt;&lt;strong&gt;ID:&lt;/strong&gt; &lt;span " &amp; D17 &amp; "id&gt;" &amp; C17 &amp; "&lt;/span&gt;&lt;/p&gt;"</f>
        <v>&lt;p&gt;&lt;strong&gt;ID:&lt;/strong&gt; &lt;span pas-id&gt;pokeathlon_stat &lt;/span&gt;&lt;/p&gt;</v>
      </c>
      <c r="I17" s="6" t="str">
        <f aca="false">A17</f>
        <v>pokeathlon-stat </v>
      </c>
    </row>
    <row r="18" customFormat="false" ht="15" hidden="false" customHeight="false" outlineLevel="0" collapsed="false">
      <c r="A18" s="4" t="s">
        <v>98</v>
      </c>
      <c r="B18" s="5" t="s">
        <v>99</v>
      </c>
      <c r="C18" s="0" t="str">
        <f aca="false">SUBSTITUTE(A18,"-","_")</f>
        <v>nature </v>
      </c>
      <c r="D18" s="0" t="str">
        <f aca="false">CONCATENATE(LEFT(A18,1),"-")</f>
        <v>n-</v>
      </c>
      <c r="E18" s="0" t="str">
        <f aca="false">"&lt;p&gt;&lt;strong&gt;ID:&lt;/strong&gt; &lt;span " &amp; D18 &amp; "id&gt;" &amp; C18 &amp; "&lt;/span&gt;&lt;/p&gt;"</f>
        <v>&lt;p&gt;&lt;strong&gt;ID:&lt;/strong&gt; &lt;span n-id&gt;nature &lt;/span&gt;&lt;/p&gt;</v>
      </c>
      <c r="I18" s="6" t="str">
        <f aca="false">A18</f>
        <v>nature </v>
      </c>
    </row>
    <row r="19" customFormat="false" ht="15" hidden="false" customHeight="false" outlineLevel="0" collapsed="false">
      <c r="A19" s="4" t="s">
        <v>100</v>
      </c>
      <c r="B19" s="5" t="s">
        <v>101</v>
      </c>
      <c r="C19" s="0" t="str">
        <f aca="false">SUBSTITUTE(A19,"-","_")</f>
        <v>move_target </v>
      </c>
      <c r="D19" s="0" t="s">
        <v>102</v>
      </c>
      <c r="E19" s="0" t="str">
        <f aca="false">"&lt;p&gt;&lt;strong&gt;ID:&lt;/strong&gt; &lt;span " &amp; D19 &amp; "id&gt;" &amp; C19 &amp; "&lt;/span&gt;&lt;/p&gt;"</f>
        <v>&lt;p&gt;&lt;strong&gt;ID:&lt;/strong&gt; &lt;span mt-id&gt;move_target &lt;/span&gt;&lt;/p&gt;</v>
      </c>
      <c r="I19" s="6" t="str">
        <f aca="false">A19</f>
        <v>move-target </v>
      </c>
    </row>
    <row r="20" customFormat="false" ht="15" hidden="false" customHeight="false" outlineLevel="0" collapsed="false">
      <c r="A20" s="4" t="s">
        <v>103</v>
      </c>
      <c r="B20" s="5" t="s">
        <v>104</v>
      </c>
      <c r="C20" s="0" t="str">
        <f aca="false">SUBSTITUTE(A20,"-","_")</f>
        <v>move_learn_method </v>
      </c>
      <c r="D20" s="0" t="s">
        <v>105</v>
      </c>
      <c r="E20" s="0" t="str">
        <f aca="false">"&lt;p&gt;&lt;strong&gt;ID:&lt;/strong&gt; &lt;span " &amp; D20 &amp; "id&gt;" &amp; C20 &amp; "&lt;/span&gt;&lt;/p&gt;"</f>
        <v>&lt;p&gt;&lt;strong&gt;ID:&lt;/strong&gt; &lt;span mlm-id&gt;move_learn_method &lt;/span&gt;&lt;/p&gt;</v>
      </c>
      <c r="I20" s="6" t="str">
        <f aca="false">A20</f>
        <v>move-learn-method </v>
      </c>
    </row>
    <row r="21" customFormat="false" ht="15" hidden="false" customHeight="false" outlineLevel="0" collapsed="false">
      <c r="A21" s="4" t="s">
        <v>106</v>
      </c>
      <c r="B21" s="5" t="s">
        <v>107</v>
      </c>
      <c r="C21" s="0" t="str">
        <f aca="false">SUBSTITUTE(A21,"-","_")</f>
        <v>move_damage_class </v>
      </c>
      <c r="D21" s="0" t="s">
        <v>108</v>
      </c>
      <c r="E21" s="0" t="str">
        <f aca="false">"&lt;p&gt;&lt;strong&gt;ID:&lt;/strong&gt; &lt;span " &amp; D21 &amp; "id&gt;" &amp; C21 &amp; "&lt;/span&gt;&lt;/p&gt;"</f>
        <v>&lt;p&gt;&lt;strong&gt;ID:&lt;/strong&gt; &lt;span mdc-id&gt;move_damage_class &lt;/span&gt;&lt;/p&gt;</v>
      </c>
      <c r="I21" s="6" t="str">
        <f aca="false">A21</f>
        <v>move-damage-class </v>
      </c>
    </row>
    <row r="22" customFormat="false" ht="15" hidden="false" customHeight="false" outlineLevel="0" collapsed="false">
      <c r="A22" s="4" t="s">
        <v>109</v>
      </c>
      <c r="B22" s="5" t="s">
        <v>110</v>
      </c>
      <c r="C22" s="0" t="str">
        <f aca="false">SUBSTITUTE(A22,"-","_")</f>
        <v>move_category </v>
      </c>
      <c r="D22" s="0" t="s">
        <v>111</v>
      </c>
      <c r="E22" s="0" t="str">
        <f aca="false">"&lt;p&gt;&lt;strong&gt;ID:&lt;/strong&gt; &lt;span " &amp; D22 &amp; "id&gt;" &amp; C22 &amp; "&lt;/span&gt;&lt;/p&gt;"</f>
        <v>&lt;p&gt;&lt;strong&gt;ID:&lt;/strong&gt; &lt;span mc-id&gt;move_category &lt;/span&gt;&lt;/p&gt;</v>
      </c>
      <c r="I22" s="6" t="str">
        <f aca="false">A22</f>
        <v>move-category </v>
      </c>
    </row>
    <row r="23" customFormat="false" ht="15" hidden="false" customHeight="false" outlineLevel="0" collapsed="false">
      <c r="A23" s="4" t="s">
        <v>112</v>
      </c>
      <c r="B23" s="5" t="s">
        <v>113</v>
      </c>
      <c r="C23" s="0" t="str">
        <f aca="false">SUBSTITUTE(A23,"-","_")</f>
        <v>move_battle_style </v>
      </c>
      <c r="D23" s="0" t="s">
        <v>114</v>
      </c>
      <c r="E23" s="0" t="str">
        <f aca="false">"&lt;p&gt;&lt;strong&gt;ID:&lt;/strong&gt; &lt;span " &amp; D23 &amp; "id&gt;" &amp; C23 &amp; "&lt;/span&gt;&lt;/p&gt;"</f>
        <v>&lt;p&gt;&lt;strong&gt;ID:&lt;/strong&gt; &lt;span mbl-id&gt;move_battle_style &lt;/span&gt;&lt;/p&gt;</v>
      </c>
      <c r="I23" s="6" t="str">
        <f aca="false">A23</f>
        <v>move-battle-style </v>
      </c>
    </row>
    <row r="24" customFormat="false" ht="15" hidden="false" customHeight="false" outlineLevel="0" collapsed="false">
      <c r="A24" s="4" t="s">
        <v>115</v>
      </c>
      <c r="B24" s="5" t="s">
        <v>116</v>
      </c>
      <c r="C24" s="0" t="str">
        <f aca="false">SUBSTITUTE(A24,"-","_")</f>
        <v>move_ailment </v>
      </c>
      <c r="D24" s="0" t="s">
        <v>117</v>
      </c>
      <c r="E24" s="0" t="str">
        <f aca="false">"&lt;p&gt;&lt;strong&gt;ID:&lt;/strong&gt; &lt;span " &amp; D24 &amp; "id&gt;" &amp; C24 &amp; "&lt;/span&gt;&lt;/p&gt;"</f>
        <v>&lt;p&gt;&lt;strong&gt;ID:&lt;/strong&gt; &lt;span mal-id&gt;move_ailment &lt;/span&gt;&lt;/p&gt;</v>
      </c>
      <c r="I24" s="6" t="str">
        <f aca="false">A24</f>
        <v>move-ailment </v>
      </c>
    </row>
    <row r="25" customFormat="false" ht="15" hidden="false" customHeight="false" outlineLevel="0" collapsed="false">
      <c r="A25" s="4" t="s">
        <v>118</v>
      </c>
      <c r="B25" s="5" t="s">
        <v>119</v>
      </c>
      <c r="C25" s="0" t="str">
        <f aca="false">SUBSTITUTE(A25,"-","_")</f>
        <v>machine </v>
      </c>
      <c r="D25" s="0" t="str">
        <f aca="false">CONCATENATE(LEFT(A25,1),"a-")</f>
        <v>ma-</v>
      </c>
      <c r="E25" s="0" t="str">
        <f aca="false">"&lt;p&gt;&lt;strong&gt;ID:&lt;/strong&gt; &lt;span " &amp; D25 &amp; "id&gt;" &amp; C25 &amp; "&lt;/span&gt;&lt;/p&gt;"</f>
        <v>&lt;p&gt;&lt;strong&gt;ID:&lt;/strong&gt; &lt;span ma-id&gt;machine &lt;/span&gt;&lt;/p&gt;</v>
      </c>
      <c r="I25" s="6" t="str">
        <f aca="false">A25</f>
        <v>machine </v>
      </c>
    </row>
    <row r="26" customFormat="false" ht="15" hidden="false" customHeight="false" outlineLevel="0" collapsed="false">
      <c r="A26" s="4" t="s">
        <v>120</v>
      </c>
      <c r="B26" s="5" t="s">
        <v>121</v>
      </c>
      <c r="C26" s="0" t="str">
        <f aca="false">SUBSTITUTE(A26,"-","_")</f>
        <v>move </v>
      </c>
      <c r="D26" s="0" t="str">
        <f aca="false">CONCATENATE(LEFT(A26,1),"-")</f>
        <v>m-</v>
      </c>
      <c r="E26" s="0" t="str">
        <f aca="false">"&lt;p&gt;&lt;strong&gt;ID:&lt;/strong&gt; &lt;span " &amp; D26 &amp; "id&gt;" &amp; C26 &amp; "&lt;/span&gt;&lt;/p&gt;"</f>
        <v>&lt;p&gt;&lt;strong&gt;ID:&lt;/strong&gt; &lt;span m-id&gt;move &lt;/span&gt;&lt;/p&gt;</v>
      </c>
      <c r="F26" s="0" t="n">
        <v>5</v>
      </c>
      <c r="I26" s="6" t="str">
        <f aca="false">A26</f>
        <v>move </v>
      </c>
    </row>
    <row r="27" customFormat="false" ht="15" hidden="false" customHeight="false" outlineLevel="0" collapsed="false">
      <c r="A27" s="4" t="s">
        <v>122</v>
      </c>
      <c r="B27" s="5" t="s">
        <v>123</v>
      </c>
      <c r="C27" s="0" t="str">
        <f aca="false">SUBSTITUTE(A27,"-","_")</f>
        <v>location </v>
      </c>
      <c r="D27" s="0" t="str">
        <f aca="false">CONCATENATE(LEFT(A27,1),"o-")</f>
        <v>lo-</v>
      </c>
      <c r="E27" s="0" t="str">
        <f aca="false">"&lt;p&gt;&lt;strong&gt;ID:&lt;/strong&gt; &lt;span " &amp; D27 &amp; "id&gt;" &amp; C27 &amp; "&lt;/span&gt;&lt;/p&gt;"</f>
        <v>&lt;p&gt;&lt;strong&gt;ID:&lt;/strong&gt; &lt;span lo-id&gt;location &lt;/span&gt;&lt;/p&gt;</v>
      </c>
      <c r="I27" s="6" t="str">
        <f aca="false">A27</f>
        <v>location </v>
      </c>
    </row>
    <row r="28" customFormat="false" ht="15" hidden="false" customHeight="false" outlineLevel="0" collapsed="false">
      <c r="A28" s="4" t="s">
        <v>124</v>
      </c>
      <c r="B28" s="5" t="s">
        <v>125</v>
      </c>
      <c r="C28" s="0" t="str">
        <f aca="false">SUBSTITUTE(A28,"-","_")</f>
        <v>location_area </v>
      </c>
      <c r="D28" s="0" t="s">
        <v>126</v>
      </c>
      <c r="E28" s="0" t="str">
        <f aca="false">"&lt;p&gt;&lt;strong&gt;ID:&lt;/strong&gt; &lt;span " &amp; D28 &amp; "id&gt;" &amp; C28 &amp; "&lt;/span&gt;&lt;/p&gt;"</f>
        <v>&lt;p&gt;&lt;strong&gt;ID:&lt;/strong&gt; &lt;span la-id&gt;location_area &lt;/span&gt;&lt;/p&gt;</v>
      </c>
      <c r="I28" s="6" t="str">
        <f aca="false">A28</f>
        <v>location-area </v>
      </c>
    </row>
    <row r="29" customFormat="false" ht="15" hidden="false" customHeight="false" outlineLevel="0" collapsed="false">
      <c r="A29" s="4" t="s">
        <v>127</v>
      </c>
      <c r="B29" s="5" t="s">
        <v>128</v>
      </c>
      <c r="C29" s="0" t="str">
        <f aca="false">SUBSTITUTE(A29,"-","_")</f>
        <v>language </v>
      </c>
      <c r="D29" s="0" t="str">
        <f aca="false">CONCATENATE(LEFT(A29,1),"-")</f>
        <v>l-</v>
      </c>
      <c r="E29" s="0" t="str">
        <f aca="false">"&lt;p&gt;&lt;strong&gt;ID:&lt;/strong&gt; &lt;span " &amp; D29 &amp; "id&gt;" &amp; C29 &amp; "&lt;/span&gt;&lt;/p&gt;"</f>
        <v>&lt;p&gt;&lt;strong&gt;ID:&lt;/strong&gt; &lt;span l-id&gt;language &lt;/span&gt;&lt;/p&gt;</v>
      </c>
      <c r="I29" s="6" t="str">
        <f aca="false">A29</f>
        <v>language </v>
      </c>
    </row>
    <row r="30" customFormat="false" ht="15" hidden="false" customHeight="false" outlineLevel="0" collapsed="false">
      <c r="A30" s="4" t="s">
        <v>129</v>
      </c>
      <c r="B30" s="5" t="s">
        <v>130</v>
      </c>
      <c r="C30" s="0" t="str">
        <f aca="false">SUBSTITUTE(A30,"-","_")</f>
        <v>item_pocket </v>
      </c>
      <c r="D30" s="0" t="s">
        <v>131</v>
      </c>
      <c r="E30" s="0" t="str">
        <f aca="false">"&lt;p&gt;&lt;strong&gt;ID:&lt;/strong&gt; &lt;span " &amp; D30 &amp; "id&gt;" &amp; C30 &amp; "&lt;/span&gt;&lt;/p&gt;"</f>
        <v>&lt;p&gt;&lt;strong&gt;ID:&lt;/strong&gt; &lt;span ip-id&gt;item_pocket &lt;/span&gt;&lt;/p&gt;</v>
      </c>
      <c r="I30" s="6" t="str">
        <f aca="false">A30</f>
        <v>item-pocket </v>
      </c>
    </row>
    <row r="31" customFormat="false" ht="15" hidden="false" customHeight="false" outlineLevel="0" collapsed="false">
      <c r="A31" s="4" t="s">
        <v>132</v>
      </c>
      <c r="B31" s="5" t="s">
        <v>133</v>
      </c>
      <c r="C31" s="0" t="str">
        <f aca="false">SUBSTITUTE(A31,"-","_")</f>
        <v>item_fling_effect </v>
      </c>
      <c r="D31" s="0" t="s">
        <v>134</v>
      </c>
      <c r="E31" s="0" t="str">
        <f aca="false">"&lt;p&gt;&lt;strong&gt;ID:&lt;/strong&gt; &lt;span " &amp; D31 &amp; "id&gt;" &amp; C31 &amp; "&lt;/span&gt;&lt;/p&gt;"</f>
        <v>&lt;p&gt;&lt;strong&gt;ID:&lt;/strong&gt; &lt;span ife-id&gt;item_fling_effect &lt;/span&gt;&lt;/p&gt;</v>
      </c>
      <c r="I31" s="6" t="str">
        <f aca="false">A31</f>
        <v>item-fling-effect </v>
      </c>
    </row>
    <row r="32" customFormat="false" ht="15" hidden="false" customHeight="false" outlineLevel="0" collapsed="false">
      <c r="A32" s="4" t="s">
        <v>135</v>
      </c>
      <c r="B32" s="5" t="s">
        <v>136</v>
      </c>
      <c r="C32" s="0" t="str">
        <f aca="false">SUBSTITUTE(A32,"-","_")</f>
        <v>item_category </v>
      </c>
      <c r="D32" s="0" t="s">
        <v>137</v>
      </c>
      <c r="E32" s="0" t="str">
        <f aca="false">"&lt;p&gt;&lt;strong&gt;ID:&lt;/strong&gt; &lt;span " &amp; D32 &amp; "id&gt;" &amp; C32 &amp; "&lt;/span&gt;&lt;/p&gt;"</f>
        <v>&lt;p&gt;&lt;strong&gt;ID:&lt;/strong&gt; &lt;span ic-id&gt;item_category &lt;/span&gt;&lt;/p&gt;</v>
      </c>
      <c r="I32" s="6" t="str">
        <f aca="false">A32</f>
        <v>item-category </v>
      </c>
    </row>
    <row r="33" customFormat="false" ht="15" hidden="false" customHeight="false" outlineLevel="0" collapsed="false">
      <c r="A33" s="4" t="s">
        <v>138</v>
      </c>
      <c r="B33" s="5" t="s">
        <v>139</v>
      </c>
      <c r="C33" s="0" t="str">
        <f aca="false">SUBSTITUTE(A33,"-","_")</f>
        <v>item_attribute </v>
      </c>
      <c r="D33" s="0" t="s">
        <v>140</v>
      </c>
      <c r="E33" s="0" t="str">
        <f aca="false">"&lt;p&gt;&lt;strong&gt;ID:&lt;/strong&gt; &lt;span " &amp; D33 &amp; "id&gt;" &amp; C33 &amp; "&lt;/span&gt;&lt;/p&gt;"</f>
        <v>&lt;p&gt;&lt;strong&gt;ID:&lt;/strong&gt; &lt;span ia-id&gt;item_attribute &lt;/span&gt;&lt;/p&gt;</v>
      </c>
      <c r="I33" s="6" t="str">
        <f aca="false">A33</f>
        <v>item-attribute </v>
      </c>
    </row>
    <row r="34" customFormat="false" ht="15" hidden="false" customHeight="false" outlineLevel="0" collapsed="false">
      <c r="A34" s="4" t="s">
        <v>141</v>
      </c>
      <c r="B34" s="5" t="s">
        <v>142</v>
      </c>
      <c r="C34" s="0" t="str">
        <f aca="false">SUBSTITUTE(A34,"-","_")</f>
        <v>item </v>
      </c>
      <c r="D34" s="0" t="str">
        <f aca="false">CONCATENATE(LEFT(A34,1),"-")</f>
        <v>i-</v>
      </c>
      <c r="E34" s="0" t="str">
        <f aca="false">"&lt;p&gt;&lt;strong&gt;ID:&lt;/strong&gt; &lt;span " &amp; D34 &amp; "id&gt;" &amp; C34 &amp; "&lt;/span&gt;&lt;/p&gt;"</f>
        <v>&lt;p&gt;&lt;strong&gt;ID:&lt;/strong&gt; &lt;span i-id&gt;item &lt;/span&gt;&lt;/p&gt;</v>
      </c>
      <c r="I34" s="6" t="str">
        <f aca="false">A34</f>
        <v>item </v>
      </c>
    </row>
    <row r="35" customFormat="false" ht="15" hidden="false" customHeight="false" outlineLevel="0" collapsed="false">
      <c r="A35" s="4" t="s">
        <v>143</v>
      </c>
      <c r="B35" s="5" t="s">
        <v>144</v>
      </c>
      <c r="C35" s="0" t="str">
        <f aca="false">SUBSTITUTE(A35,"-","_")</f>
        <v>growth_rate </v>
      </c>
      <c r="D35" s="0" t="s">
        <v>145</v>
      </c>
      <c r="E35" s="0" t="str">
        <f aca="false">"&lt;p&gt;&lt;strong&gt;ID:&lt;/strong&gt; &lt;span " &amp; D35 &amp; "id&gt;" &amp; C35 &amp; "&lt;/span&gt;&lt;/p&gt;"</f>
        <v>&lt;p&gt;&lt;strong&gt;ID:&lt;/strong&gt; &lt;span gr-id&gt;growth_rate &lt;/span&gt;&lt;/p&gt;</v>
      </c>
      <c r="I35" s="6" t="str">
        <f aca="false">A35</f>
        <v>growth-rate </v>
      </c>
    </row>
    <row r="36" customFormat="false" ht="15" hidden="false" customHeight="false" outlineLevel="0" collapsed="false">
      <c r="A36" s="4" t="s">
        <v>146</v>
      </c>
      <c r="B36" s="5" t="s">
        <v>147</v>
      </c>
      <c r="C36" s="0" t="str">
        <f aca="false">SUBSTITUTE(A36,"-","_")</f>
        <v>generation </v>
      </c>
      <c r="D36" s="0" t="str">
        <f aca="false">CONCATENATE(LEFT(A36,1),"n-")</f>
        <v>gn-</v>
      </c>
      <c r="E36" s="0" t="str">
        <f aca="false">"&lt;p&gt;&lt;strong&gt;ID:&lt;/strong&gt; &lt;span " &amp; D36 &amp; "id&gt;" &amp; C36 &amp; "&lt;/span&gt;&lt;/p&gt;"</f>
        <v>&lt;p&gt;&lt;strong&gt;ID:&lt;/strong&gt; &lt;span gn-id&gt;generation &lt;/span&gt;&lt;/p&gt;</v>
      </c>
      <c r="I36" s="6" t="str">
        <f aca="false">A36</f>
        <v>generation </v>
      </c>
    </row>
    <row r="37" customFormat="false" ht="15" hidden="false" customHeight="false" outlineLevel="0" collapsed="false">
      <c r="A37" s="4" t="s">
        <v>148</v>
      </c>
      <c r="B37" s="5" t="s">
        <v>149</v>
      </c>
      <c r="C37" s="0" t="str">
        <f aca="false">SUBSTITUTE(A37,"-","_")</f>
        <v>gender </v>
      </c>
      <c r="D37" s="0" t="str">
        <f aca="false">CONCATENATE(LEFT(A37,1),"-")</f>
        <v>g-</v>
      </c>
      <c r="E37" s="0" t="str">
        <f aca="false">"&lt;p&gt;&lt;strong&gt;ID:&lt;/strong&gt; &lt;span " &amp; D37 &amp; "id&gt;" &amp; C37 &amp; "&lt;/span&gt;&lt;/p&gt;"</f>
        <v>&lt;p&gt;&lt;strong&gt;ID:&lt;/strong&gt; &lt;span g-id&gt;gender &lt;/span&gt;&lt;/p&gt;</v>
      </c>
      <c r="I37" s="6" t="str">
        <f aca="false">A37</f>
        <v>gender </v>
      </c>
    </row>
    <row r="38" customFormat="false" ht="15" hidden="false" customHeight="false" outlineLevel="0" collapsed="false">
      <c r="A38" s="4" t="s">
        <v>150</v>
      </c>
      <c r="B38" s="5" t="s">
        <v>151</v>
      </c>
      <c r="C38" s="0" t="str">
        <f aca="false">SUBSTITUTE(A38,"-","_")</f>
        <v>evolution_trigger </v>
      </c>
      <c r="D38" s="0" t="s">
        <v>152</v>
      </c>
      <c r="E38" s="0" t="str">
        <f aca="false">"&lt;p&gt;&lt;strong&gt;ID:&lt;/strong&gt; &lt;span " &amp; D38 &amp; "id&gt;" &amp; C38 &amp; "&lt;/span&gt;&lt;/p&gt;"</f>
        <v>&lt;p&gt;&lt;strong&gt;ID:&lt;/strong&gt; &lt;span et-id&gt;evolution_trigger &lt;/span&gt;&lt;/p&gt;</v>
      </c>
      <c r="I38" s="6" t="str">
        <f aca="false">A38</f>
        <v>evolution-trigger </v>
      </c>
    </row>
    <row r="39" customFormat="false" ht="15" hidden="false" customHeight="false" outlineLevel="0" collapsed="false">
      <c r="A39" s="4" t="s">
        <v>153</v>
      </c>
      <c r="B39" s="5" t="s">
        <v>154</v>
      </c>
      <c r="C39" s="0" t="str">
        <f aca="false">SUBSTITUTE(A39,"-","_")</f>
        <v>encounter_method </v>
      </c>
      <c r="D39" s="0" t="s">
        <v>155</v>
      </c>
      <c r="E39" s="0" t="str">
        <f aca="false">"&lt;p&gt;&lt;strong&gt;ID:&lt;/strong&gt; &lt;span " &amp; D39 &amp; "id&gt;" &amp; C39 &amp; "&lt;/span&gt;&lt;/p&gt;"</f>
        <v>&lt;p&gt;&lt;strong&gt;ID:&lt;/strong&gt; &lt;span em-id&gt;encounter_method &lt;/span&gt;&lt;/p&gt;</v>
      </c>
      <c r="I39" s="6" t="str">
        <f aca="false">A39</f>
        <v>encounter-method </v>
      </c>
    </row>
    <row r="40" customFormat="false" ht="15" hidden="false" customHeight="false" outlineLevel="0" collapsed="false">
      <c r="A40" s="4" t="s">
        <v>156</v>
      </c>
      <c r="B40" s="5" t="s">
        <v>157</v>
      </c>
      <c r="C40" s="0" t="str">
        <f aca="false">SUBSTITUTE(A40,"-","_")</f>
        <v>egg_group </v>
      </c>
      <c r="D40" s="0" t="s">
        <v>158</v>
      </c>
      <c r="E40" s="0" t="str">
        <f aca="false">"&lt;p&gt;&lt;strong&gt;ID:&lt;/strong&gt; &lt;span " &amp; D40 &amp; "id&gt;" &amp; C40 &amp; "&lt;/span&gt;&lt;/p&gt;"</f>
        <v>&lt;p&gt;&lt;strong&gt;ID:&lt;/strong&gt; &lt;span eg-id&gt;egg_group &lt;/span&gt;&lt;/p&gt;</v>
      </c>
      <c r="I40" s="6" t="str">
        <f aca="false">A40</f>
        <v>egg-group </v>
      </c>
    </row>
    <row r="41" customFormat="false" ht="15" hidden="false" customHeight="false" outlineLevel="0" collapsed="false">
      <c r="A41" s="4" t="s">
        <v>159</v>
      </c>
      <c r="B41" s="5" t="s">
        <v>160</v>
      </c>
      <c r="C41" s="0" t="str">
        <f aca="false">SUBSTITUTE(A41,"-","_")</f>
        <v>encounter_condition_value </v>
      </c>
      <c r="D41" s="0" t="s">
        <v>161</v>
      </c>
      <c r="E41" s="0" t="str">
        <f aca="false">"&lt;p&gt;&lt;strong&gt;ID:&lt;/strong&gt; &lt;span " &amp; D41 &amp; "id&gt;" &amp; C41 &amp; "&lt;/span&gt;&lt;/p&gt;"</f>
        <v>&lt;p&gt;&lt;strong&gt;ID:&lt;/strong&gt; &lt;span ecv-id&gt;encounter_condition_value &lt;/span&gt;&lt;/p&gt;</v>
      </c>
      <c r="I41" s="6" t="str">
        <f aca="false">A41</f>
        <v>encounter-condition-value </v>
      </c>
    </row>
    <row r="42" customFormat="false" ht="15" hidden="false" customHeight="false" outlineLevel="0" collapsed="false">
      <c r="A42" s="4" t="s">
        <v>162</v>
      </c>
      <c r="B42" s="5" t="s">
        <v>163</v>
      </c>
      <c r="C42" s="0" t="str">
        <f aca="false">SUBSTITUTE(A42,"-","_")</f>
        <v>encounter_condition </v>
      </c>
      <c r="D42" s="0" t="s">
        <v>164</v>
      </c>
      <c r="E42" s="0" t="str">
        <f aca="false">"&lt;p&gt;&lt;strong&gt;ID:&lt;/strong&gt; &lt;span " &amp; D42 &amp; "id&gt;" &amp; C42 &amp; "&lt;/span&gt;&lt;/p&gt;"</f>
        <v>&lt;p&gt;&lt;strong&gt;ID:&lt;/strong&gt; &lt;span ec-id&gt;encounter_condition &lt;/span&gt;&lt;/p&gt;</v>
      </c>
      <c r="I42" s="6" t="str">
        <f aca="false">A42</f>
        <v>encounter-condition </v>
      </c>
    </row>
    <row r="43" customFormat="false" ht="15" hidden="false" customHeight="false" outlineLevel="0" collapsed="false">
      <c r="A43" s="4" t="s">
        <v>165</v>
      </c>
      <c r="B43" s="5" t="s">
        <v>166</v>
      </c>
      <c r="C43" s="0" t="str">
        <f aca="false">SUBSTITUTE(A43,"-","_")</f>
        <v>evolution_chain </v>
      </c>
      <c r="D43" s="0" t="str">
        <f aca="false">CONCATENATE(LEFT(A43,1),"c-")</f>
        <v>ec-</v>
      </c>
      <c r="E43" s="0" t="str">
        <f aca="false">"&lt;p&gt;&lt;strong&gt;ID:&lt;/strong&gt; &lt;span " &amp; D43 &amp; "id&gt;" &amp; C43 &amp; "&lt;/span&gt;&lt;/p&gt;"</f>
        <v>&lt;p&gt;&lt;strong&gt;ID:&lt;/strong&gt; &lt;span ec-id&gt;evolution_chain &lt;/span&gt;&lt;/p&gt;</v>
      </c>
      <c r="F43" s="0" t="n">
        <v>4</v>
      </c>
      <c r="I43" s="6" t="str">
        <f aca="false">A43</f>
        <v>evolution-chain </v>
      </c>
    </row>
    <row r="44" customFormat="false" ht="15" hidden="false" customHeight="false" outlineLevel="0" collapsed="false">
      <c r="A44" s="4" t="s">
        <v>167</v>
      </c>
      <c r="B44" s="5" t="s">
        <v>168</v>
      </c>
      <c r="C44" s="0" t="str">
        <f aca="false">SUBSTITUTE(A44,"-","_")</f>
        <v>contest_type </v>
      </c>
      <c r="D44" s="0" t="s">
        <v>169</v>
      </c>
      <c r="E44" s="0" t="str">
        <f aca="false">"&lt;p&gt;&lt;strong&gt;ID:&lt;/strong&gt; &lt;span " &amp; D44 &amp; "id&gt;" &amp; C44 &amp; "&lt;/span&gt;&lt;/p&gt;"</f>
        <v>&lt;p&gt;&lt;strong&gt;ID:&lt;/strong&gt; &lt;span ct-id&gt;contest_type &lt;/span&gt;&lt;/p&gt;</v>
      </c>
      <c r="I44" s="6" t="str">
        <f aca="false">A44</f>
        <v>contest-type </v>
      </c>
    </row>
    <row r="45" customFormat="false" ht="15" hidden="false" customHeight="false" outlineLevel="0" collapsed="false">
      <c r="A45" s="4" t="s">
        <v>170</v>
      </c>
      <c r="B45" s="5" t="s">
        <v>171</v>
      </c>
      <c r="C45" s="0" t="str">
        <f aca="false">SUBSTITUTE(A45,"-","_")</f>
        <v>contest_effect </v>
      </c>
      <c r="D45" s="0" t="s">
        <v>172</v>
      </c>
      <c r="E45" s="0" t="str">
        <f aca="false">"&lt;p&gt;&lt;strong&gt;ID:&lt;/strong&gt; &lt;span " &amp; D45 &amp; "id&gt;" &amp; C45 &amp; "&lt;/span&gt;&lt;/p&gt;"</f>
        <v>&lt;p&gt;&lt;strong&gt;ID:&lt;/strong&gt; &lt;span ce-id&gt;contest_effect &lt;/span&gt;&lt;/p&gt;</v>
      </c>
      <c r="I45" s="6" t="str">
        <f aca="false">A45</f>
        <v>contest-effect </v>
      </c>
    </row>
    <row r="46" customFormat="false" ht="15" hidden="false" customHeight="false" outlineLevel="0" collapsed="false">
      <c r="A46" s="4" t="s">
        <v>173</v>
      </c>
      <c r="B46" s="5" t="s">
        <v>174</v>
      </c>
      <c r="C46" s="0" t="str">
        <f aca="false">SUBSTITUTE(A46,"-","_")</f>
        <v>characteristic </v>
      </c>
      <c r="D46" s="0" t="str">
        <f aca="false">CONCATENATE(LEFT(A46,1),"-")</f>
        <v>c-</v>
      </c>
      <c r="E46" s="0" t="str">
        <f aca="false">"&lt;p&gt;&lt;strong&gt;ID:&lt;/strong&gt; &lt;span " &amp; D46 &amp; "id&gt;" &amp; C46 &amp; "&lt;/span&gt;&lt;/p&gt;"</f>
        <v>&lt;p&gt;&lt;strong&gt;ID:&lt;/strong&gt; &lt;span c-id&gt;characteristic &lt;/span&gt;&lt;/p&gt;</v>
      </c>
      <c r="I46" s="6" t="str">
        <f aca="false">A46</f>
        <v>characteristic </v>
      </c>
    </row>
    <row r="47" customFormat="false" ht="15" hidden="false" customHeight="false" outlineLevel="0" collapsed="false">
      <c r="A47" s="4" t="s">
        <v>175</v>
      </c>
      <c r="B47" s="5" t="s">
        <v>176</v>
      </c>
      <c r="C47" s="0" t="str">
        <f aca="false">SUBSTITUTE(A47,"-","_")</f>
        <v>berry_firmness </v>
      </c>
      <c r="D47" s="0" t="s">
        <v>177</v>
      </c>
      <c r="E47" s="0" t="str">
        <f aca="false">"&lt;p&gt;&lt;strong&gt;ID:&lt;/strong&gt; &lt;span " &amp; D47 &amp; "id&gt;" &amp; C47 &amp; "&lt;/span&gt;&lt;/p&gt;"</f>
        <v>&lt;p&gt;&lt;strong&gt;ID:&lt;/strong&gt; &lt;span bfi-id&gt;berry_firmness &lt;/span&gt;&lt;/p&gt;</v>
      </c>
      <c r="I47" s="6" t="str">
        <f aca="false">A47</f>
        <v>berry-firmness </v>
      </c>
    </row>
    <row r="48" customFormat="false" ht="15" hidden="false" customHeight="false" outlineLevel="0" collapsed="false">
      <c r="A48" s="4" t="s">
        <v>178</v>
      </c>
      <c r="B48" s="5" t="s">
        <v>179</v>
      </c>
      <c r="C48" s="6" t="str">
        <f aca="false">SUBSTITUTE(A48,"-","_")</f>
        <v>berry_flavor </v>
      </c>
      <c r="D48" s="0" t="s">
        <v>180</v>
      </c>
      <c r="E48" s="0" t="str">
        <f aca="false">"&lt;p&gt;&lt;strong&gt;ID:&lt;/strong&gt; &lt;span " &amp; D48 &amp; "id&gt;" &amp; C48 &amp; "&lt;/span&gt;&lt;/p&gt;"</f>
        <v>&lt;p&gt;&lt;strong&gt;ID:&lt;/strong&gt; &lt;span bf-id&gt;berry_flavor &lt;/span&gt;&lt;/p&gt;</v>
      </c>
      <c r="I48" s="6" t="str">
        <f aca="false">A48</f>
        <v>berry-flavor </v>
      </c>
    </row>
    <row r="49" customFormat="false" ht="15" hidden="false" customHeight="false" outlineLevel="0" collapsed="false">
      <c r="A49" s="4" t="s">
        <v>181</v>
      </c>
      <c r="B49" s="5" t="s">
        <v>182</v>
      </c>
      <c r="C49" s="0" t="str">
        <f aca="false">SUBSTITUTE(A49,"-","_")</f>
        <v>berry </v>
      </c>
      <c r="D49" s="0" t="str">
        <f aca="false">CONCATENATE(LEFT(A49,1),"-")</f>
        <v>b-</v>
      </c>
      <c r="E49" s="0" t="str">
        <f aca="false">"&lt;p&gt;&lt;strong&gt;ID:&lt;/strong&gt; &lt;span " &amp; D49 &amp; "id&gt;" &amp; C49 &amp; "&lt;/span&gt;&lt;/p&gt;"</f>
        <v>&lt;p&gt;&lt;strong&gt;ID:&lt;/strong&gt; &lt;span b-id&gt;berry &lt;/span&gt;&lt;/p&gt;</v>
      </c>
      <c r="I49" s="6" t="str">
        <f aca="false">A49</f>
        <v>berry </v>
      </c>
    </row>
    <row r="50" customFormat="false" ht="15" hidden="false" customHeight="false" outlineLevel="0" collapsed="false">
      <c r="C50" s="6"/>
      <c r="I50" s="6" t="s">
        <v>183</v>
      </c>
    </row>
  </sheetData>
  <autoFilter ref="A1:H49">
    <sortState ref="A2:H49">
      <sortCondition ref="A2:A49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es-ES</dc:language>
  <cp:lastModifiedBy/>
  <dcterms:modified xsi:type="dcterms:W3CDTF">2026-03-02T16:44:59Z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